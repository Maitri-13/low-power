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/>
  <workbookPr filterPrivacy="1" autoCompressPictures="0"/>
  <bookViews>
    <workbookView xWindow="0" yWindow="0" windowWidth="15345" windowHeight="4455" xr2:uid="{00000000-000D-0000-FFFF-FFFF00000000}"/>
  </bookViews>
  <sheets>
    <sheet name="project" sheetId="1" r:id="rId1"/>
  </sheets>
  <definedNames>
    <definedName name="Actual">(PeriodInActual*(project!$F1&gt;0))*PeriodInPlan</definedName>
    <definedName name="ActualBeyond">PeriodInActual*(project!$F1&gt;0)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ercentComplete">PercentCompleteBeyond*PeriodInPlan</definedName>
    <definedName name="PercentCompleteBeyond">(project!A$8=MEDIAN(project!A$8,project!$F1,project!$F1+project!$G1)*(project!$F1&gt;0))*((project!A$8&lt;(INT(project!$F1+project!$G1*project!$H1)))+(project!A$8=project!$F1))*(project!$H1&gt;0)</definedName>
    <definedName name="period_selected">project!$O$3</definedName>
    <definedName name="PeriodInActual">project!A$8=MEDIAN(project!A$8,project!$F1,project!$F1+project!$G1-1)</definedName>
    <definedName name="PeriodInPlan">project!A$8=MEDIAN(project!A$8,project!$D1,project!$D1+project!$E1-1)</definedName>
    <definedName name="Plan">PeriodInPlan*(project!$D1&gt;0)</definedName>
    <definedName name="_xlnm.Print_Area" localSheetId="0">project!$B$1:$AO$91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B8" i="1" l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BU8" i="1"/>
  <c r="BV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U8" i="1"/>
</calcChain>
</file>

<file path=xl/sharedStrings.xml><?xml version="1.0" encoding="utf-8"?>
<sst xmlns="http://schemas.openxmlformats.org/spreadsheetml/2006/main" count="212" uniqueCount="118">
  <si>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</si>
  <si>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</si>
  <si>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</si>
  <si>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</si>
  <si>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</si>
  <si>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</si>
  <si>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</si>
  <si>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</si>
  <si>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</si>
  <si>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</si>
  <si>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</si>
  <si>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</si>
  <si>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</si>
  <si>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 xml:space="preserve"> Period Highlight:</t>
  </si>
  <si>
    <t>Comments</t>
  </si>
  <si>
    <t>Lead</t>
  </si>
  <si>
    <t>PCB released to fab</t>
  </si>
  <si>
    <t>PCB back for assembly</t>
  </si>
  <si>
    <t>Project Demos</t>
  </si>
  <si>
    <t>August 28th</t>
  </si>
  <si>
    <t>September 1st</t>
  </si>
  <si>
    <t>October 1st</t>
  </si>
  <si>
    <t>November 1st</t>
  </si>
  <si>
    <t>December 1st</t>
  </si>
  <si>
    <t>Selecting Microprocessor</t>
  </si>
  <si>
    <t>Selecting GPS</t>
  </si>
  <si>
    <t>Selecting Camera</t>
  </si>
  <si>
    <t>Preparing project update</t>
  </si>
  <si>
    <t>Sourcing Dev kits</t>
  </si>
  <si>
    <t>Integrating github with slack</t>
  </si>
  <si>
    <t>Maitri</t>
  </si>
  <si>
    <t>Chase + Akshit</t>
  </si>
  <si>
    <t>Akshit</t>
  </si>
  <si>
    <t>Chase</t>
  </si>
  <si>
    <t>Select Motion Sensor</t>
  </si>
  <si>
    <t>Select Microphone</t>
  </si>
  <si>
    <t>Selecting Radio</t>
  </si>
  <si>
    <t>All</t>
  </si>
  <si>
    <t>Project Planner- 3 Eyed Ravens</t>
  </si>
  <si>
    <t>Read the datasheet for the Wifi</t>
  </si>
  <si>
    <t>Read the datasheet for the Motion sensor</t>
  </si>
  <si>
    <t>Read the datasheet for the microphone</t>
  </si>
  <si>
    <t>Calculate the memory on the processor and decide on the memory chip</t>
  </si>
  <si>
    <t>Decide Power management</t>
  </si>
  <si>
    <t>Decide the processor</t>
  </si>
  <si>
    <t>Decide the different stages of the system</t>
  </si>
  <si>
    <t>Decide the duration of operation of each stage</t>
  </si>
  <si>
    <t>Decide the power source</t>
  </si>
  <si>
    <t>Chase+Maitri</t>
  </si>
  <si>
    <t>Decide on the Energy harvesting</t>
  </si>
  <si>
    <t>Chase+ Akshit</t>
  </si>
  <si>
    <t>Chase + Maitri</t>
  </si>
  <si>
    <t>Calculate the power and the EM levels of each operation</t>
  </si>
  <si>
    <t xml:space="preserve">Chose a new camera and read it's datasheet </t>
  </si>
  <si>
    <t>Prepare the project update</t>
  </si>
  <si>
    <t>Calculate the current for each stage</t>
  </si>
  <si>
    <t xml:space="preserve">Sch Lib for the Camera </t>
  </si>
  <si>
    <t>Sch Lib for the Motion sensor</t>
  </si>
  <si>
    <t>Sch Lib for the Mic Amp</t>
  </si>
  <si>
    <t>Sch Lib for the Energy Storage 1</t>
  </si>
  <si>
    <t>Sch Lib for the Energy Storage 2</t>
  </si>
  <si>
    <t>Sch Lib for the Wifi</t>
  </si>
  <si>
    <t>Sch Lib for the Memory</t>
  </si>
  <si>
    <t xml:space="preserve">Pcb Lib for the Camera </t>
  </si>
  <si>
    <t>Pcb Lib for the Motion sensor</t>
  </si>
  <si>
    <t>Pcb Lib for the Processor</t>
  </si>
  <si>
    <t>Sch Lib for the Processor</t>
  </si>
  <si>
    <t>Sch Lib for the Microphone</t>
  </si>
  <si>
    <t>Pcb Lib for the Microphone</t>
  </si>
  <si>
    <t>Pcb Lib for the Mic Amp</t>
  </si>
  <si>
    <t>Pcb Lib for the Energy Storage 1</t>
  </si>
  <si>
    <t>Pcb Lib for the Energy Storage 2</t>
  </si>
  <si>
    <t>Pcb Lib for the Wifi</t>
  </si>
  <si>
    <t>Pcb Lib for the Memory</t>
  </si>
  <si>
    <t>Calculate the passive elements in the Power circuit</t>
  </si>
  <si>
    <t>Verify the Pcb Lib components</t>
  </si>
  <si>
    <t>Make the schematic for the amplifier</t>
  </si>
  <si>
    <t>Make the schematic for the Microphone</t>
  </si>
  <si>
    <t>Carry out the simulation for the PMU</t>
  </si>
  <si>
    <t>Make the layout for the Wifi</t>
  </si>
  <si>
    <t>Make the layout for the microphone</t>
  </si>
  <si>
    <t>Make the layout for the amplifier</t>
  </si>
  <si>
    <t>Make the schematic for the motion sensor</t>
  </si>
  <si>
    <t>Make the schematic for the camera</t>
  </si>
  <si>
    <t>Make the schematic for the wifi</t>
  </si>
  <si>
    <t>Make the schematic for the controller</t>
  </si>
  <si>
    <t>Make the schematic for the Pmu</t>
  </si>
  <si>
    <t>Verfify the schematic for all the parts in the project</t>
  </si>
  <si>
    <t>Prepare the BOM with all the components in the project</t>
  </si>
  <si>
    <t xml:space="preserve">Create the layouts of the individual components </t>
  </si>
  <si>
    <t>Schematic review with the TA</t>
  </si>
  <si>
    <t>Make changes to the schematic according to the feedbacks form TA</t>
  </si>
  <si>
    <t>Layout of the components</t>
  </si>
  <si>
    <t>Identify parts to be bought from which website</t>
  </si>
  <si>
    <t>Completed layout of the project</t>
  </si>
  <si>
    <t>Completed first review of layout within team</t>
  </si>
  <si>
    <t>Completed changes to shematic suggested b TAs</t>
  </si>
  <si>
    <t>Layout reviewed</t>
  </si>
  <si>
    <t>Make changes to it according to the feedbacks form TA</t>
  </si>
  <si>
    <t>Part ready to be shipped</t>
  </si>
  <si>
    <t>Part received and inspection done</t>
  </si>
  <si>
    <t>Created Verification table to test the parts while coding the firmware</t>
  </si>
  <si>
    <t>Assemble three boards</t>
  </si>
  <si>
    <t>Created first prototype of the app</t>
  </si>
  <si>
    <t>Set up backend server  for VOIP and notification</t>
  </si>
  <si>
    <t>Fix the PMU</t>
  </si>
  <si>
    <t>Create the drivers for the camera</t>
  </si>
  <si>
    <t>Create the drivers for the motion sensor</t>
  </si>
  <si>
    <t>Create the drivers for the microphone</t>
  </si>
  <si>
    <t>Create the drivers for the memory</t>
  </si>
  <si>
    <t>Create the drivers for the wifi</t>
  </si>
  <si>
    <t>Create the state machine and control logic</t>
  </si>
  <si>
    <t>Verify flashing the boards</t>
  </si>
  <si>
    <t>Implement notification, images and VOIP on the android app</t>
  </si>
  <si>
    <t>TBD</t>
  </si>
  <si>
    <t>Verify board against the verification plan</t>
  </si>
  <si>
    <t>chase</t>
  </si>
  <si>
    <t>Chase/Maitri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</si>
</sst>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6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8"/>
      <name val="Corbel"/>
      <family val="2"/>
      <scheme val="major"/>
    </font>
    <font>
      <b/>
      <sz val="13"/>
      <color theme="1" tint="0.24994659260841701"/>
      <name val="Corbel"/>
      <family val="2"/>
      <scheme val="major"/>
    </font>
    <font>
      <sz val="11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9.5"/>
      <color theme="1" tint="0.499984740745262"/>
      <name val="Calibri"/>
      <family val="2"/>
      <scheme val="minor"/>
    </font>
    <font>
      <b/>
      <sz val="9.5"/>
      <color theme="2" tint="-0.499984740745262"/>
      <name val="Calibri"/>
      <family val="2"/>
      <scheme val="minor"/>
    </font>
    <font>
      <b/>
      <sz val="13"/>
      <color theme="1" tint="0.24994659260841701"/>
      <name val="Calibri"/>
    </font>
    <font>
      <sz val="11"/>
      <color theme="1" tint="0.24994659260841701"/>
      <name val="Arial"/>
    </font>
    <font>
      <sz val="12"/>
      <color theme="1" tint="0.24994659260841701"/>
      <name val="Calibri"/>
    </font>
    <font>
      <b/>
      <sz val="13"/>
      <color theme="7"/>
      <name val="Calibri"/>
    </font>
    <font>
      <b/>
      <sz val="13"/>
      <color theme="1" tint="0.24994659260841701"/>
      <name val="Calibri"/>
      <family val="2"/>
    </font>
    <font>
      <sz val="11"/>
      <color theme="1" tint="0.24994659260841701"/>
      <name val="Arial"/>
      <family val="2"/>
    </font>
    <font>
      <sz val="13"/>
      <color theme="1" tint="0.24994659260841701"/>
      <name val="Corbel"/>
      <family val="2"/>
      <scheme val="major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2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7" fillId="7" borderId="1" applyNumberFormat="0" applyProtection="0">
      <alignment horizontal="left" vertical="center"/>
    </xf>
  </cellStyleXfs>
  <cellXfs count="62">
    <xf numFmtId="0" fontId="0" fillId="0" borderId="0" xfId="0">
      <alignment vertical="center"/>
    </xf>
    <xf numFmtId="0" fontId="9" fillId="0" borderId="0" xfId="2" applyFont="1" applyAlignment="1">
      <alignment horizontal="left" wrapText="1"/>
    </xf>
    <xf numFmtId="0" fontId="10" fillId="0" borderId="0" xfId="0" applyFont="1" applyAlignment="1">
      <alignment horizontal="center"/>
    </xf>
    <xf numFmtId="9" fontId="11" fillId="0" borderId="0" xfId="6" applyFont="1">
      <alignment horizontal="center" vertical="center"/>
    </xf>
    <xf numFmtId="0" fontId="10" fillId="8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0" fontId="10" fillId="8" borderId="0" xfId="0" applyFont="1" applyFill="1">
      <alignment vertical="center"/>
    </xf>
    <xf numFmtId="0" fontId="12" fillId="0" borderId="0" xfId="0" applyFont="1" applyFill="1">
      <alignment vertical="center"/>
    </xf>
    <xf numFmtId="0" fontId="10" fillId="10" borderId="0" xfId="0" applyFont="1" applyFill="1">
      <alignment vertical="center"/>
    </xf>
    <xf numFmtId="0" fontId="10" fillId="0" borderId="0" xfId="0" applyFont="1" applyFill="1" applyAlignment="1">
      <alignment textRotation="90"/>
    </xf>
    <xf numFmtId="0" fontId="10" fillId="0" borderId="0" xfId="0" applyFont="1" applyFill="1" applyAlignment="1">
      <alignment horizontal="left" textRotation="90"/>
    </xf>
    <xf numFmtId="0" fontId="10" fillId="9" borderId="0" xfId="0" applyFont="1" applyFill="1">
      <alignment vertical="center"/>
    </xf>
    <xf numFmtId="0" fontId="14" fillId="8" borderId="1" xfId="7" applyFont="1" applyFill="1">
      <alignment horizontal="left" vertical="center"/>
    </xf>
    <xf numFmtId="0" fontId="14" fillId="7" borderId="1" xfId="7" applyFont="1">
      <alignment horizontal="left" vertical="center"/>
    </xf>
    <xf numFmtId="0" fontId="15" fillId="7" borderId="1" xfId="7" applyFont="1">
      <alignment horizontal="left" vertical="center"/>
    </xf>
    <xf numFmtId="0" fontId="10" fillId="2" borderId="2" xfId="0" applyFont="1" applyFill="1" applyBorder="1" applyAlignment="1">
      <alignment horizontal="center"/>
    </xf>
    <xf numFmtId="0" fontId="16" fillId="0" borderId="0" xfId="5" applyFont="1">
      <alignment horizontal="left" vertical="center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0" borderId="0" xfId="5" applyFont="1">
      <alignment horizontal="left" vertical="center"/>
    </xf>
    <xf numFmtId="0" fontId="10" fillId="5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0" xfId="4" applyFont="1" applyAlignment="1">
      <alignment horizontal="center" wrapText="1"/>
    </xf>
    <xf numFmtId="0" fontId="17" fillId="0" borderId="0" xfId="4" applyFont="1">
      <alignment horizontal="center"/>
    </xf>
    <xf numFmtId="0" fontId="17" fillId="0" borderId="0" xfId="4" applyFont="1" applyAlignment="1">
      <alignment horizontal="center"/>
    </xf>
    <xf numFmtId="0" fontId="17" fillId="8" borderId="0" xfId="4" applyFont="1" applyFill="1" applyAlignment="1">
      <alignment horizontal="left" textRotation="90"/>
    </xf>
    <xf numFmtId="0" fontId="10" fillId="0" borderId="0" xfId="0" applyFont="1" applyFill="1" applyAlignment="1">
      <alignment horizontal="center" textRotation="90"/>
    </xf>
    <xf numFmtId="16" fontId="17" fillId="8" borderId="0" xfId="4" applyNumberFormat="1" applyFont="1" applyFill="1" applyAlignment="1">
      <alignment horizontal="left" textRotation="90"/>
    </xf>
    <xf numFmtId="0" fontId="10" fillId="0" borderId="0" xfId="0" applyFont="1" applyFill="1" applyAlignment="1">
      <alignment vertical="center" textRotation="89"/>
    </xf>
    <xf numFmtId="0" fontId="12" fillId="0" borderId="0" xfId="0" applyFont="1" applyFill="1" applyAlignment="1">
      <alignment horizontal="left" textRotation="90"/>
    </xf>
    <xf numFmtId="0" fontId="10" fillId="0" borderId="0" xfId="0" applyFont="1" applyFill="1" applyAlignment="1">
      <alignment vertical="center" textRotation="90"/>
    </xf>
    <xf numFmtId="0" fontId="10" fillId="9" borderId="0" xfId="0" applyFont="1" applyFill="1" applyAlignment="1">
      <alignment vertical="center" textRotation="90"/>
    </xf>
    <xf numFmtId="0" fontId="17" fillId="0" borderId="0" xfId="4" applyFont="1" applyAlignment="1">
      <alignment horizontal="left" wrapText="1"/>
    </xf>
    <xf numFmtId="0" fontId="17" fillId="8" borderId="0" xfId="4" applyFont="1" applyFill="1">
      <alignment horizontal="center"/>
    </xf>
    <xf numFmtId="3" fontId="17" fillId="0" borderId="3" xfId="3" applyFont="1" applyAlignment="1">
      <alignment horizontal="center" wrapText="1"/>
    </xf>
    <xf numFmtId="3" fontId="17" fillId="0" borderId="3" xfId="3" applyFont="1">
      <alignment horizontal="center"/>
    </xf>
    <xf numFmtId="3" fontId="17" fillId="0" borderId="3" xfId="3" applyFont="1" applyAlignment="1">
      <alignment horizontal="center"/>
    </xf>
    <xf numFmtId="3" fontId="17" fillId="8" borderId="3" xfId="3" applyFont="1" applyFill="1">
      <alignment horizontal="center"/>
    </xf>
    <xf numFmtId="3" fontId="17" fillId="0" borderId="3" xfId="3" applyFont="1" applyFill="1">
      <alignment horizontal="center"/>
    </xf>
    <xf numFmtId="3" fontId="18" fillId="9" borderId="3" xfId="3" applyFont="1" applyFill="1">
      <alignment horizontal="center"/>
    </xf>
    <xf numFmtId="3" fontId="17" fillId="10" borderId="3" xfId="3" applyFont="1" applyFill="1">
      <alignment horizontal="center"/>
    </xf>
    <xf numFmtId="3" fontId="17" fillId="9" borderId="3" xfId="3" applyFont="1" applyFill="1">
      <alignment horizontal="center"/>
    </xf>
    <xf numFmtId="0" fontId="19" fillId="0" borderId="0" xfId="2" applyFont="1" applyAlignment="1">
      <alignment horizontal="left" wrapText="1"/>
    </xf>
    <xf numFmtId="0" fontId="20" fillId="0" borderId="0" xfId="2" applyFont="1" applyAlignment="1">
      <alignment horizontal="left" wrapText="1"/>
    </xf>
    <xf numFmtId="0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9" fontId="22" fillId="0" borderId="0" xfId="6" applyFont="1">
      <alignment horizontal="center" vertical="center"/>
    </xf>
    <xf numFmtId="0" fontId="20" fillId="0" borderId="0" xfId="0" applyFont="1" applyAlignment="1">
      <alignment horizontal="center"/>
    </xf>
    <xf numFmtId="0" fontId="23" fillId="0" borderId="0" xfId="2" applyFont="1" applyAlignment="1">
      <alignment horizontal="left" wrapText="1"/>
    </xf>
    <xf numFmtId="0" fontId="24" fillId="0" borderId="0" xfId="2" applyFont="1" applyAlignment="1">
      <alignment horizontal="left" wrapText="1"/>
    </xf>
    <xf numFmtId="0" fontId="2" fillId="0" borderId="0" xfId="2" applyFont="1" applyAlignment="1">
      <alignment horizontal="left" wrapText="1"/>
    </xf>
    <xf numFmtId="0" fontId="4" fillId="0" borderId="0" xfId="0" applyFont="1" applyAlignment="1">
      <alignment horizontal="center"/>
    </xf>
    <xf numFmtId="0" fontId="25" fillId="0" borderId="0" xfId="2" applyFont="1" applyAlignment="1">
      <alignment horizontal="left" wrapText="1"/>
    </xf>
    <xf numFmtId="0" fontId="13" fillId="0" borderId="0" xfId="1" applyFont="1" applyAlignment="1">
      <alignment horizontal="left"/>
    </xf>
    <xf numFmtId="0" fontId="10" fillId="10" borderId="0" xfId="0" applyFont="1" applyFill="1" applyAlignment="1">
      <alignment horizontal="left" textRotation="90"/>
    </xf>
    <xf numFmtId="0" fontId="10" fillId="0" borderId="0" xfId="0" applyFont="1" applyFill="1" applyAlignment="1">
      <alignment horizontal="left" textRotation="90"/>
    </xf>
    <xf numFmtId="0" fontId="10" fillId="9" borderId="0" xfId="0" applyFont="1" applyFill="1" applyAlignment="1">
      <alignment horizontal="left" textRotation="90"/>
    </xf>
    <xf numFmtId="0" fontId="25" fillId="0" borderId="0" xfId="2" applyFont="1" applyAlignment="1">
      <alignment horizontal="center" wrapText="1"/>
    </xf>
    <xf numFmtId="0" fontId="0" fillId="0" borderId="0" xfId="0" applyFont="1" applyAlignment="1">
      <alignment horizontal="center"/>
    </xf>
  </cellXfs>
  <cellStyles count="8">
    <cellStyle name="Activity" xfId="2" xr:uid="{00000000-0005-0000-0000-000000000000}"/>
    <cellStyle name="Heading 1" xfId="1" builtinId="16" customBuiltin="1"/>
    <cellStyle name="Label" xfId="5" xr:uid="{00000000-0005-0000-0000-000002000000}"/>
    <cellStyle name="Normal" xfId="0" builtinId="0" customBuiltin="1"/>
    <cellStyle name="Percent Complete" xfId="6" xr:uid="{00000000-0005-0000-0000-000004000000}"/>
    <cellStyle name="Period Headers" xfId="3" xr:uid="{00000000-0005-0000-0000-000005000000}"/>
    <cellStyle name="Period Highlight Control" xfId="7" xr:uid="{00000000-0005-0000-0000-000006000000}"/>
    <cellStyle name="Project Headers" xfId="4" xr:uid="{00000000-0005-0000-0000-000007000000}"/>
  </cellStyles>
  <dxfs count="55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4"/>
      <tableStyleElement type="headerRow" dxfId="53"/>
    </tableStyle>
  </tableStyles>
  <colors>
    <mruColors>
      <color rgb="FF92D05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1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</xdr:row>
          <xdr:rowOff>28575</xdr:rowOff>
        </xdr:from>
        <xdr:to>
          <xdr:col>16</xdr:col>
          <xdr:colOff>0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DU106"/>
  <sheetViews>
    <sheetView showGridLines="0" tabSelected="1" topLeftCell="A78" zoomScale="80" zoomScaleNormal="80" workbookViewId="0">
      <selection activeCell="H86" sqref="H86"/>
    </sheetView>
  </sheetViews>
  <sheetFormatPr defaultColWidth="2.625" defaultRowHeight="17.25" x14ac:dyDescent="0.3"/>
  <cols>
    <col min="1" max="1" width="2.625" style="6" customWidth="1"/>
    <col min="2" max="2" width="68" style="1" customWidth="1"/>
    <col min="3" max="3" width="25" style="1" customWidth="1"/>
    <col min="4" max="6" width="7.125" style="2" customWidth="1"/>
    <col min="7" max="7" width="8.375" style="2" customWidth="1"/>
    <col min="8" max="8" width="7.125" style="3" customWidth="1"/>
    <col min="9" max="9" width="19.625" style="2" customWidth="1"/>
    <col min="10" max="14" width="2.625" style="2"/>
    <col min="15" max="15" width="3.5" style="2" bestFit="1" customWidth="1"/>
    <col min="16" max="27" width="2.625" style="2"/>
    <col min="28" max="28" width="2.875" style="2" bestFit="1" customWidth="1"/>
    <col min="29" max="29" width="2.625" style="2"/>
    <col min="30" max="36" width="2.625" style="6"/>
    <col min="37" max="37" width="2.625" style="7"/>
    <col min="38" max="69" width="2.625" style="6"/>
    <col min="70" max="72" width="2.875" style="6" bestFit="1" customWidth="1"/>
    <col min="73" max="87" width="2.625" style="6"/>
    <col min="88" max="88" width="2.875" style="6" bestFit="1" customWidth="1"/>
    <col min="89" max="107" width="2.625" style="6"/>
    <col min="108" max="108" width="2.875" style="6" bestFit="1" customWidth="1"/>
    <col min="109" max="125" width="3.375" style="6" customWidth="1"/>
    <col min="126" max="16384" width="2.625" style="6"/>
  </cols>
  <sheetData>
    <row r="1" spans="2:125" ht="18.95" customHeight="1" x14ac:dyDescent="0.3">
      <c r="J1" s="4"/>
      <c r="N1" s="4"/>
      <c r="T1" s="5"/>
      <c r="X1" s="5"/>
      <c r="AR1" s="8"/>
      <c r="AX1" s="9"/>
      <c r="AY1" s="7"/>
      <c r="BF1" s="59" t="s">
        <v>16</v>
      </c>
      <c r="BG1" s="10"/>
      <c r="BH1" s="10"/>
      <c r="BI1" s="10"/>
      <c r="BJ1" s="10"/>
      <c r="BK1" s="57"/>
      <c r="BL1" s="10"/>
      <c r="BM1" s="10"/>
      <c r="BN1" s="59" t="s">
        <v>17</v>
      </c>
      <c r="BO1" s="10"/>
      <c r="BP1" s="10"/>
      <c r="BQ1" s="57"/>
      <c r="BR1" s="10"/>
      <c r="BS1" s="10"/>
      <c r="BT1" s="10"/>
      <c r="BU1" s="57"/>
      <c r="BV1" s="10"/>
      <c r="BW1" s="8"/>
      <c r="BY1" s="58"/>
      <c r="CB1" s="7"/>
      <c r="CC1" s="11"/>
      <c r="DA1" s="8"/>
      <c r="DE1" s="7"/>
      <c r="DF1" s="7"/>
      <c r="DG1" s="12"/>
      <c r="DH1" s="7"/>
      <c r="DI1" s="7"/>
      <c r="DJ1" s="7"/>
      <c r="DK1" s="7"/>
      <c r="DL1" s="7"/>
      <c r="DM1" s="7"/>
      <c r="DN1" s="7"/>
      <c r="DO1" s="13"/>
      <c r="DP1" s="13"/>
      <c r="DQ1" s="13"/>
      <c r="DR1" s="13"/>
      <c r="DS1" s="13"/>
      <c r="DT1" s="13"/>
      <c r="DU1" s="7"/>
    </row>
    <row r="2" spans="2:125" ht="15" x14ac:dyDescent="0.25">
      <c r="B2" s="56" t="s">
        <v>38</v>
      </c>
      <c r="C2" s="56"/>
      <c r="D2" s="56"/>
      <c r="E2" s="56"/>
      <c r="F2" s="56"/>
      <c r="G2" s="56"/>
      <c r="H2" s="56"/>
      <c r="J2" s="4"/>
      <c r="N2" s="4"/>
      <c r="T2" s="5"/>
      <c r="X2" s="5"/>
      <c r="AR2" s="8"/>
      <c r="AX2" s="9"/>
      <c r="AY2" s="7"/>
      <c r="BF2" s="59"/>
      <c r="BG2" s="10"/>
      <c r="BH2" s="10"/>
      <c r="BI2" s="10"/>
      <c r="BJ2" s="10"/>
      <c r="BK2" s="57"/>
      <c r="BL2" s="10"/>
      <c r="BM2" s="10"/>
      <c r="BN2" s="59"/>
      <c r="BO2" s="10"/>
      <c r="BP2" s="10"/>
      <c r="BQ2" s="57"/>
      <c r="BR2" s="10"/>
      <c r="BS2" s="10"/>
      <c r="BT2" s="10"/>
      <c r="BU2" s="57"/>
      <c r="BV2" s="10"/>
      <c r="BW2" s="8"/>
      <c r="BY2" s="58"/>
      <c r="CB2" s="7"/>
      <c r="CC2" s="11"/>
      <c r="CF2" s="7"/>
      <c r="CX2" s="7"/>
      <c r="DA2" s="8"/>
      <c r="DE2" s="7"/>
      <c r="DF2" s="7"/>
      <c r="DG2" s="12"/>
      <c r="DH2" s="7"/>
      <c r="DI2" s="7"/>
      <c r="DJ2" s="7"/>
      <c r="DK2" s="7"/>
      <c r="DL2" s="7"/>
      <c r="DM2" s="7"/>
      <c r="DN2" s="7"/>
      <c r="DO2" s="13"/>
      <c r="DP2" s="13"/>
      <c r="DQ2" s="13"/>
      <c r="DR2" s="13"/>
      <c r="DS2" s="13"/>
      <c r="DT2" s="13"/>
      <c r="DU2" s="7"/>
    </row>
    <row r="3" spans="2:125" ht="21" customHeight="1" x14ac:dyDescent="0.25">
      <c r="B3" s="56"/>
      <c r="C3" s="56"/>
      <c r="D3" s="56"/>
      <c r="E3" s="56"/>
      <c r="F3" s="56"/>
      <c r="G3" s="56"/>
      <c r="H3" s="56"/>
      <c r="J3" s="14" t="s">
        <v>13</v>
      </c>
      <c r="K3" s="15"/>
      <c r="L3" s="15"/>
      <c r="M3" s="15"/>
      <c r="N3" s="14"/>
      <c r="O3" s="16">
        <v>20</v>
      </c>
      <c r="P3" s="15"/>
      <c r="R3" s="17"/>
      <c r="S3" s="18" t="s">
        <v>0</v>
      </c>
      <c r="T3" s="5"/>
      <c r="U3" s="19"/>
      <c r="V3" s="18" t="s">
        <v>1</v>
      </c>
      <c r="X3" s="5"/>
      <c r="Y3" s="20"/>
      <c r="Z3" s="21" t="s">
        <v>10</v>
      </c>
      <c r="AD3" s="22"/>
      <c r="AE3" s="21" t="s">
        <v>11</v>
      </c>
      <c r="AH3" s="2"/>
      <c r="AI3" s="2"/>
      <c r="AJ3" s="2"/>
      <c r="AK3" s="5"/>
      <c r="AL3" s="23"/>
      <c r="AM3" s="21" t="s">
        <v>12</v>
      </c>
      <c r="AR3" s="8"/>
      <c r="AX3" s="9"/>
      <c r="AY3" s="7"/>
      <c r="BF3" s="59"/>
      <c r="BG3" s="10"/>
      <c r="BH3" s="10"/>
      <c r="BI3" s="10"/>
      <c r="BJ3" s="10"/>
      <c r="BK3" s="57"/>
      <c r="BL3" s="10"/>
      <c r="BM3" s="10"/>
      <c r="BN3" s="59"/>
      <c r="BO3" s="10"/>
      <c r="BP3" s="10"/>
      <c r="BQ3" s="57"/>
      <c r="BR3" s="10"/>
      <c r="BS3" s="10"/>
      <c r="BT3" s="10"/>
      <c r="BU3" s="57"/>
      <c r="BV3" s="10"/>
      <c r="BW3" s="8"/>
      <c r="BY3" s="58"/>
      <c r="CB3" s="7"/>
      <c r="CC3" s="11"/>
      <c r="CF3" s="7"/>
      <c r="CX3" s="7"/>
      <c r="DA3" s="8"/>
      <c r="DE3" s="7"/>
      <c r="DF3" s="7"/>
      <c r="DG3" s="12"/>
      <c r="DH3" s="7"/>
      <c r="DI3" s="7"/>
      <c r="DJ3" s="7"/>
      <c r="DK3" s="7"/>
      <c r="DL3" s="7"/>
      <c r="DM3" s="7"/>
      <c r="DN3" s="7"/>
      <c r="DO3" s="13"/>
      <c r="DP3" s="13"/>
      <c r="DQ3" s="13"/>
      <c r="DR3" s="13"/>
      <c r="DS3" s="13"/>
      <c r="DT3" s="13"/>
      <c r="DU3" s="7"/>
    </row>
    <row r="4" spans="2:125" ht="18.95" customHeight="1" x14ac:dyDescent="0.25">
      <c r="B4" s="56"/>
      <c r="C4" s="56"/>
      <c r="D4" s="56"/>
      <c r="E4" s="56"/>
      <c r="F4" s="56"/>
      <c r="G4" s="56"/>
      <c r="H4" s="56"/>
      <c r="J4" s="4"/>
      <c r="N4" s="4"/>
      <c r="T4" s="5"/>
      <c r="X4" s="5"/>
      <c r="AR4" s="8"/>
      <c r="AU4" s="2"/>
      <c r="AV4" s="2"/>
      <c r="AW4" s="2"/>
      <c r="AX4" s="24"/>
      <c r="AY4" s="5"/>
      <c r="BF4" s="59"/>
      <c r="BG4" s="10"/>
      <c r="BH4" s="10"/>
      <c r="BI4" s="10"/>
      <c r="BJ4" s="10"/>
      <c r="BK4" s="57"/>
      <c r="BL4" s="10"/>
      <c r="BM4" s="10"/>
      <c r="BN4" s="59"/>
      <c r="BO4" s="10"/>
      <c r="BP4" s="10"/>
      <c r="BQ4" s="57"/>
      <c r="BR4" s="10"/>
      <c r="BS4" s="10"/>
      <c r="BT4" s="10"/>
      <c r="BU4" s="57"/>
      <c r="BV4" s="10"/>
      <c r="BW4" s="8"/>
      <c r="BY4" s="58"/>
      <c r="CB4" s="7"/>
      <c r="CC4" s="11"/>
      <c r="CF4" s="7"/>
      <c r="CX4" s="7"/>
      <c r="DA4" s="8"/>
      <c r="DE4" s="7"/>
      <c r="DF4" s="7"/>
      <c r="DG4" s="12"/>
      <c r="DH4" s="7"/>
      <c r="DI4" s="7"/>
      <c r="DJ4" s="7"/>
      <c r="DK4" s="7"/>
      <c r="DL4" s="7"/>
      <c r="DM4" s="7"/>
      <c r="DN4" s="7"/>
      <c r="DO4" s="13"/>
      <c r="DP4" s="13"/>
      <c r="DQ4" s="13"/>
      <c r="DR4" s="13"/>
      <c r="DS4" s="13"/>
      <c r="DT4" s="13"/>
      <c r="DU4" s="7"/>
    </row>
    <row r="5" spans="2:125" ht="18.95" hidden="1" customHeight="1" x14ac:dyDescent="0.3">
      <c r="J5" s="4"/>
      <c r="N5" s="4"/>
      <c r="T5" s="5"/>
      <c r="X5" s="5"/>
      <c r="AR5" s="8"/>
      <c r="AU5" s="2"/>
      <c r="AV5" s="2"/>
      <c r="AW5" s="2"/>
      <c r="AX5" s="9"/>
      <c r="AY5" s="7"/>
      <c r="BF5" s="59"/>
      <c r="BG5" s="10"/>
      <c r="BH5" s="10"/>
      <c r="BI5" s="10"/>
      <c r="BJ5" s="10"/>
      <c r="BK5" s="57"/>
      <c r="BL5" s="10"/>
      <c r="BM5" s="10"/>
      <c r="BN5" s="59"/>
      <c r="BO5" s="10"/>
      <c r="BP5" s="10"/>
      <c r="BQ5" s="57"/>
      <c r="BR5" s="10"/>
      <c r="BS5" s="10"/>
      <c r="BT5" s="10"/>
      <c r="BU5" s="57"/>
      <c r="BV5" s="10"/>
      <c r="BW5" s="8"/>
      <c r="BY5" s="58"/>
      <c r="CB5" s="7"/>
      <c r="CC5" s="11"/>
      <c r="CF5" s="7"/>
      <c r="CX5" s="7"/>
      <c r="DA5" s="8"/>
      <c r="DE5" s="7"/>
      <c r="DF5" s="7"/>
      <c r="DG5" s="12"/>
      <c r="DH5" s="7"/>
      <c r="DI5" s="7"/>
      <c r="DJ5" s="7"/>
      <c r="DK5" s="7"/>
      <c r="DL5" s="7"/>
      <c r="DM5" s="7"/>
      <c r="DN5" s="7"/>
      <c r="DO5" s="13"/>
      <c r="DP5" s="13"/>
      <c r="DQ5" s="13"/>
      <c r="DR5" s="13"/>
      <c r="DS5" s="13"/>
      <c r="DT5" s="13"/>
      <c r="DU5" s="7"/>
    </row>
    <row r="6" spans="2:125" ht="63.95" customHeight="1" x14ac:dyDescent="0.25">
      <c r="B6" s="25"/>
      <c r="C6" s="25"/>
      <c r="D6" s="26" t="s">
        <v>2</v>
      </c>
      <c r="E6" s="26" t="s">
        <v>2</v>
      </c>
      <c r="F6" s="26" t="s">
        <v>5</v>
      </c>
      <c r="G6" s="26" t="s">
        <v>5</v>
      </c>
      <c r="H6" s="26" t="s">
        <v>6</v>
      </c>
      <c r="I6" s="27"/>
      <c r="J6" s="28" t="s">
        <v>19</v>
      </c>
      <c r="K6" s="26"/>
      <c r="N6" s="28" t="s">
        <v>20</v>
      </c>
      <c r="T6" s="12"/>
      <c r="X6" s="29"/>
      <c r="AB6" s="30">
        <v>42993</v>
      </c>
      <c r="AK6" s="31"/>
      <c r="AR6" s="28" t="s">
        <v>21</v>
      </c>
      <c r="AU6" s="2"/>
      <c r="AV6" s="2"/>
      <c r="AW6" s="2"/>
      <c r="AX6" s="32"/>
      <c r="AY6" s="33"/>
      <c r="BF6" s="59"/>
      <c r="BG6" s="10"/>
      <c r="BH6" s="10"/>
      <c r="BI6" s="10"/>
      <c r="BJ6" s="10"/>
      <c r="BK6" s="57"/>
      <c r="BL6" s="10"/>
      <c r="BM6" s="10"/>
      <c r="BN6" s="59"/>
      <c r="BO6" s="10"/>
      <c r="BP6" s="10"/>
      <c r="BQ6" s="57"/>
      <c r="BR6" s="10"/>
      <c r="BS6" s="10"/>
      <c r="BT6" s="10"/>
      <c r="BU6" s="57"/>
      <c r="BV6" s="10"/>
      <c r="BW6" s="28" t="s">
        <v>22</v>
      </c>
      <c r="BY6" s="58"/>
      <c r="CB6" s="7"/>
      <c r="CC6" s="33"/>
      <c r="CF6" s="33"/>
      <c r="CX6" s="33"/>
      <c r="DA6" s="28" t="s">
        <v>23</v>
      </c>
      <c r="DE6" s="7"/>
      <c r="DF6" s="7"/>
      <c r="DG6" s="12"/>
      <c r="DH6" s="7"/>
      <c r="DI6" s="7"/>
      <c r="DJ6" s="7"/>
      <c r="DK6" s="33"/>
      <c r="DL6" s="7"/>
      <c r="DM6" s="7"/>
      <c r="DN6" s="7"/>
      <c r="DO6" s="13"/>
      <c r="DP6" s="13"/>
      <c r="DQ6" s="34" t="s">
        <v>18</v>
      </c>
      <c r="DR6" s="13"/>
      <c r="DS6" s="13"/>
      <c r="DT6" s="13"/>
      <c r="DU6" s="7"/>
    </row>
    <row r="7" spans="2:125" ht="13.5" customHeight="1" x14ac:dyDescent="0.25">
      <c r="B7" s="35" t="s">
        <v>9</v>
      </c>
      <c r="C7" s="35"/>
      <c r="D7" s="26" t="s">
        <v>3</v>
      </c>
      <c r="E7" s="26" t="s">
        <v>4</v>
      </c>
      <c r="F7" s="26" t="s">
        <v>3</v>
      </c>
      <c r="G7" s="26" t="s">
        <v>4</v>
      </c>
      <c r="H7" s="26" t="s">
        <v>7</v>
      </c>
      <c r="I7" s="27"/>
      <c r="J7" s="36" t="s">
        <v>8</v>
      </c>
      <c r="K7" s="26"/>
      <c r="N7" s="4"/>
      <c r="T7" s="5"/>
      <c r="X7" s="5"/>
      <c r="AR7" s="8"/>
      <c r="AX7" s="7"/>
      <c r="AY7" s="7"/>
      <c r="BF7" s="13"/>
      <c r="BG7" s="10"/>
      <c r="BH7" s="10"/>
      <c r="BI7" s="10"/>
      <c r="BJ7" s="10"/>
      <c r="BK7" s="10"/>
      <c r="BL7" s="10"/>
      <c r="BM7" s="10"/>
      <c r="BN7" s="13"/>
      <c r="BO7" s="10"/>
      <c r="BP7" s="10"/>
      <c r="BQ7" s="10"/>
      <c r="BR7" s="10"/>
      <c r="BS7" s="10"/>
      <c r="BT7" s="10"/>
      <c r="BU7" s="10"/>
      <c r="BV7" s="10"/>
      <c r="BW7" s="8"/>
      <c r="BY7" s="7"/>
      <c r="CB7" s="7"/>
      <c r="CC7" s="7"/>
      <c r="CF7" s="7"/>
      <c r="CX7" s="7"/>
      <c r="DA7" s="8"/>
      <c r="DE7" s="7"/>
      <c r="DF7" s="7"/>
      <c r="DG7" s="7"/>
      <c r="DH7" s="7"/>
      <c r="DI7" s="7"/>
      <c r="DJ7" s="7"/>
      <c r="DK7" s="7"/>
      <c r="DL7" s="7"/>
      <c r="DM7" s="7"/>
      <c r="DN7" s="7"/>
      <c r="DO7" s="13"/>
      <c r="DP7" s="13"/>
      <c r="DQ7" s="13"/>
      <c r="DR7" s="13"/>
      <c r="DS7" s="13"/>
      <c r="DT7" s="13"/>
      <c r="DU7" s="7"/>
    </row>
    <row r="8" spans="2:125" ht="15.75" customHeight="1" x14ac:dyDescent="0.2">
      <c r="B8" s="37"/>
      <c r="C8" s="37" t="s">
        <v>15</v>
      </c>
      <c r="D8" s="38"/>
      <c r="E8" s="38"/>
      <c r="F8" s="38"/>
      <c r="G8" s="38"/>
      <c r="H8" s="38"/>
      <c r="I8" s="39" t="s">
        <v>14</v>
      </c>
      <c r="J8" s="40">
        <v>1</v>
      </c>
      <c r="K8" s="38">
        <v>2</v>
      </c>
      <c r="L8" s="38">
        <v>3</v>
      </c>
      <c r="M8" s="38">
        <v>4</v>
      </c>
      <c r="N8" s="40">
        <v>5</v>
      </c>
      <c r="O8" s="38">
        <v>6</v>
      </c>
      <c r="P8" s="38">
        <v>7</v>
      </c>
      <c r="Q8" s="38">
        <v>8</v>
      </c>
      <c r="R8" s="38">
        <v>9</v>
      </c>
      <c r="S8" s="38">
        <v>10</v>
      </c>
      <c r="T8" s="41">
        <v>11</v>
      </c>
      <c r="U8" s="38">
        <v>12</v>
      </c>
      <c r="V8" s="38">
        <v>13</v>
      </c>
      <c r="W8" s="38">
        <v>14</v>
      </c>
      <c r="X8" s="41">
        <v>15</v>
      </c>
      <c r="Y8" s="38">
        <v>16</v>
      </c>
      <c r="Z8" s="38">
        <v>17</v>
      </c>
      <c r="AA8" s="38">
        <v>18</v>
      </c>
      <c r="AB8" s="38">
        <v>19</v>
      </c>
      <c r="AC8" s="38">
        <v>20</v>
      </c>
      <c r="AD8" s="38">
        <v>21</v>
      </c>
      <c r="AE8" s="38">
        <v>22</v>
      </c>
      <c r="AF8" s="38">
        <v>23</v>
      </c>
      <c r="AG8" s="38">
        <v>24</v>
      </c>
      <c r="AH8" s="38">
        <v>25</v>
      </c>
      <c r="AI8" s="38">
        <v>26</v>
      </c>
      <c r="AJ8" s="38">
        <v>27</v>
      </c>
      <c r="AK8" s="41">
        <v>28</v>
      </c>
      <c r="AL8" s="38">
        <v>29</v>
      </c>
      <c r="AM8" s="38">
        <v>30</v>
      </c>
      <c r="AN8" s="38">
        <v>31</v>
      </c>
      <c r="AO8" s="38">
        <v>32</v>
      </c>
      <c r="AP8" s="38">
        <v>33</v>
      </c>
      <c r="AQ8" s="38">
        <v>34</v>
      </c>
      <c r="AR8" s="40">
        <v>35</v>
      </c>
      <c r="AS8" s="38">
        <v>36</v>
      </c>
      <c r="AT8" s="38">
        <v>37</v>
      </c>
      <c r="AU8" s="38">
        <v>38</v>
      </c>
      <c r="AV8" s="38">
        <v>39</v>
      </c>
      <c r="AW8" s="38">
        <v>40</v>
      </c>
      <c r="AX8" s="41">
        <v>41</v>
      </c>
      <c r="AY8" s="41">
        <v>42</v>
      </c>
      <c r="AZ8" s="38">
        <v>43</v>
      </c>
      <c r="BA8" s="38">
        <v>44</v>
      </c>
      <c r="BB8" s="38">
        <v>45</v>
      </c>
      <c r="BC8" s="38">
        <v>46</v>
      </c>
      <c r="BD8" s="38">
        <v>47</v>
      </c>
      <c r="BE8" s="38">
        <v>48</v>
      </c>
      <c r="BF8" s="42">
        <v>49</v>
      </c>
      <c r="BG8" s="43">
        <v>50</v>
      </c>
      <c r="BH8" s="43">
        <v>51</v>
      </c>
      <c r="BI8" s="43">
        <v>52</v>
      </c>
      <c r="BJ8" s="43">
        <v>53</v>
      </c>
      <c r="BK8" s="43">
        <v>54</v>
      </c>
      <c r="BL8" s="43">
        <v>55</v>
      </c>
      <c r="BM8" s="43">
        <v>56</v>
      </c>
      <c r="BN8" s="44">
        <v>57</v>
      </c>
      <c r="BO8" s="43">
        <v>58</v>
      </c>
      <c r="BP8" s="43">
        <v>59</v>
      </c>
      <c r="BQ8" s="43">
        <v>60</v>
      </c>
      <c r="BR8" s="43">
        <v>61</v>
      </c>
      <c r="BS8" s="43">
        <v>62</v>
      </c>
      <c r="BT8" s="43">
        <v>63</v>
      </c>
      <c r="BU8" s="43">
        <f t="shared" ref="BU8:CI8" si="0">BT8+1</f>
        <v>64</v>
      </c>
      <c r="BV8" s="43">
        <f t="shared" si="0"/>
        <v>65</v>
      </c>
      <c r="BW8" s="40">
        <v>66</v>
      </c>
      <c r="BX8" s="38">
        <f t="shared" si="0"/>
        <v>67</v>
      </c>
      <c r="BY8" s="41">
        <f t="shared" si="0"/>
        <v>68</v>
      </c>
      <c r="BZ8" s="38">
        <f t="shared" si="0"/>
        <v>69</v>
      </c>
      <c r="CA8" s="38">
        <f t="shared" si="0"/>
        <v>70</v>
      </c>
      <c r="CB8" s="41">
        <f t="shared" si="0"/>
        <v>71</v>
      </c>
      <c r="CC8" s="41">
        <f t="shared" si="0"/>
        <v>72</v>
      </c>
      <c r="CD8" s="38">
        <f t="shared" si="0"/>
        <v>73</v>
      </c>
      <c r="CE8" s="38">
        <f t="shared" si="0"/>
        <v>74</v>
      </c>
      <c r="CF8" s="38">
        <f t="shared" si="0"/>
        <v>75</v>
      </c>
      <c r="CG8" s="38">
        <f t="shared" si="0"/>
        <v>76</v>
      </c>
      <c r="CH8" s="38">
        <f t="shared" si="0"/>
        <v>77</v>
      </c>
      <c r="CI8" s="38">
        <f t="shared" si="0"/>
        <v>78</v>
      </c>
      <c r="CJ8" s="38">
        <f>CI8+1</f>
        <v>79</v>
      </c>
      <c r="CK8" s="38">
        <f t="shared" ref="CK8:DC8" si="1">CJ8+1</f>
        <v>80</v>
      </c>
      <c r="CL8" s="38">
        <f t="shared" si="1"/>
        <v>81</v>
      </c>
      <c r="CM8" s="38">
        <f t="shared" si="1"/>
        <v>82</v>
      </c>
      <c r="CN8" s="38">
        <f t="shared" si="1"/>
        <v>83</v>
      </c>
      <c r="CO8" s="38">
        <f t="shared" si="1"/>
        <v>84</v>
      </c>
      <c r="CP8" s="38">
        <f t="shared" si="1"/>
        <v>85</v>
      </c>
      <c r="CQ8" s="38">
        <f t="shared" si="1"/>
        <v>86</v>
      </c>
      <c r="CR8" s="38">
        <f t="shared" si="1"/>
        <v>87</v>
      </c>
      <c r="CS8" s="38">
        <f t="shared" si="1"/>
        <v>88</v>
      </c>
      <c r="CT8" s="38">
        <f t="shared" si="1"/>
        <v>89</v>
      </c>
      <c r="CU8" s="38">
        <f t="shared" si="1"/>
        <v>90</v>
      </c>
      <c r="CV8" s="38">
        <f t="shared" si="1"/>
        <v>91</v>
      </c>
      <c r="CW8" s="38">
        <f t="shared" si="1"/>
        <v>92</v>
      </c>
      <c r="CX8" s="38">
        <f t="shared" si="1"/>
        <v>93</v>
      </c>
      <c r="CY8" s="38">
        <f t="shared" si="1"/>
        <v>94</v>
      </c>
      <c r="CZ8" s="38">
        <f t="shared" si="1"/>
        <v>95</v>
      </c>
      <c r="DA8" s="40">
        <v>96</v>
      </c>
      <c r="DB8" s="38">
        <f t="shared" si="1"/>
        <v>97</v>
      </c>
      <c r="DC8" s="38">
        <f t="shared" si="1"/>
        <v>98</v>
      </c>
      <c r="DD8" s="38">
        <f>DC8+1</f>
        <v>99</v>
      </c>
      <c r="DE8" s="41">
        <f t="shared" ref="DE8:DU8" si="2">DD8+1</f>
        <v>100</v>
      </c>
      <c r="DF8" s="41">
        <f t="shared" si="2"/>
        <v>101</v>
      </c>
      <c r="DG8" s="41">
        <f t="shared" si="2"/>
        <v>102</v>
      </c>
      <c r="DH8" s="41">
        <f t="shared" si="2"/>
        <v>103</v>
      </c>
      <c r="DI8" s="41">
        <f t="shared" si="2"/>
        <v>104</v>
      </c>
      <c r="DJ8" s="41">
        <f t="shared" si="2"/>
        <v>105</v>
      </c>
      <c r="DK8" s="41">
        <f t="shared" si="2"/>
        <v>106</v>
      </c>
      <c r="DL8" s="41">
        <f t="shared" si="2"/>
        <v>107</v>
      </c>
      <c r="DM8" s="41">
        <f t="shared" si="2"/>
        <v>108</v>
      </c>
      <c r="DN8" s="41">
        <f t="shared" si="2"/>
        <v>109</v>
      </c>
      <c r="DO8" s="44">
        <f t="shared" ref="DO8" si="3">DN8+1</f>
        <v>110</v>
      </c>
      <c r="DP8" s="44">
        <f t="shared" ref="DP8" si="4">DO8+1</f>
        <v>111</v>
      </c>
      <c r="DQ8" s="44">
        <f t="shared" ref="DQ8" si="5">DP8+1</f>
        <v>112</v>
      </c>
      <c r="DR8" s="44">
        <f t="shared" ref="DR8" si="6">DQ8+1</f>
        <v>113</v>
      </c>
      <c r="DS8" s="44">
        <f t="shared" ref="DS8" si="7">DR8+1</f>
        <v>114</v>
      </c>
      <c r="DT8" s="44">
        <f t="shared" ref="DT8" si="8">DS8+1</f>
        <v>115</v>
      </c>
      <c r="DU8" s="41">
        <f t="shared" si="2"/>
        <v>116</v>
      </c>
    </row>
    <row r="9" spans="2:125" ht="17.100000000000001" customHeight="1" x14ac:dyDescent="0.3">
      <c r="B9" s="45" t="s">
        <v>24</v>
      </c>
      <c r="C9" s="46" t="s">
        <v>51</v>
      </c>
      <c r="D9" s="47">
        <v>16</v>
      </c>
      <c r="E9" s="48">
        <v>5</v>
      </c>
      <c r="F9" s="48">
        <v>19</v>
      </c>
      <c r="G9" s="48">
        <v>2</v>
      </c>
      <c r="H9" s="49">
        <v>1</v>
      </c>
      <c r="I9" s="50"/>
    </row>
    <row r="10" spans="2:125" ht="17.100000000000001" customHeight="1" x14ac:dyDescent="0.3">
      <c r="B10" s="45" t="s">
        <v>36</v>
      </c>
      <c r="C10" s="46" t="s">
        <v>32</v>
      </c>
      <c r="D10" s="47">
        <v>16</v>
      </c>
      <c r="E10" s="48">
        <v>5</v>
      </c>
      <c r="F10" s="48">
        <v>18</v>
      </c>
      <c r="G10" s="48">
        <v>2</v>
      </c>
      <c r="H10" s="49">
        <v>1</v>
      </c>
      <c r="I10" s="50"/>
    </row>
    <row r="11" spans="2:125" ht="17.100000000000001" customHeight="1" x14ac:dyDescent="0.3">
      <c r="B11" s="45" t="s">
        <v>25</v>
      </c>
      <c r="C11" s="46" t="s">
        <v>32</v>
      </c>
      <c r="D11" s="47">
        <v>16</v>
      </c>
      <c r="E11" s="48">
        <v>5</v>
      </c>
      <c r="F11" s="48">
        <v>18</v>
      </c>
      <c r="G11" s="48">
        <v>2</v>
      </c>
      <c r="H11" s="49">
        <v>1</v>
      </c>
      <c r="I11" s="50"/>
    </row>
    <row r="12" spans="2:125" ht="17.100000000000001" customHeight="1" x14ac:dyDescent="0.3">
      <c r="B12" s="45" t="s">
        <v>34</v>
      </c>
      <c r="C12" s="46" t="s">
        <v>33</v>
      </c>
      <c r="D12" s="47">
        <v>16</v>
      </c>
      <c r="E12" s="48">
        <v>5</v>
      </c>
      <c r="F12" s="48">
        <v>19</v>
      </c>
      <c r="G12" s="48">
        <v>2</v>
      </c>
      <c r="H12" s="49">
        <v>1</v>
      </c>
      <c r="I12" s="50"/>
    </row>
    <row r="13" spans="2:125" ht="17.100000000000001" customHeight="1" x14ac:dyDescent="0.3">
      <c r="B13" s="45" t="s">
        <v>35</v>
      </c>
      <c r="C13" s="46" t="s">
        <v>33</v>
      </c>
      <c r="D13" s="47">
        <v>16</v>
      </c>
      <c r="E13" s="48">
        <v>5</v>
      </c>
      <c r="F13" s="48">
        <v>19</v>
      </c>
      <c r="G13" s="48">
        <v>2</v>
      </c>
      <c r="H13" s="49">
        <v>1</v>
      </c>
      <c r="I13" s="50"/>
    </row>
    <row r="14" spans="2:125" ht="17.100000000000001" customHeight="1" x14ac:dyDescent="0.3">
      <c r="B14" s="45" t="s">
        <v>26</v>
      </c>
      <c r="C14" s="46" t="s">
        <v>33</v>
      </c>
      <c r="D14" s="47">
        <v>16</v>
      </c>
      <c r="E14" s="48">
        <v>5</v>
      </c>
      <c r="F14" s="48">
        <v>19</v>
      </c>
      <c r="G14" s="48">
        <v>2</v>
      </c>
      <c r="H14" s="49">
        <v>1</v>
      </c>
      <c r="I14" s="50"/>
    </row>
    <row r="15" spans="2:125" ht="17.100000000000001" customHeight="1" x14ac:dyDescent="0.3">
      <c r="B15" s="45" t="s">
        <v>27</v>
      </c>
      <c r="C15" s="46" t="s">
        <v>37</v>
      </c>
      <c r="D15" s="47">
        <v>18</v>
      </c>
      <c r="E15" s="48">
        <v>2</v>
      </c>
      <c r="F15" s="48">
        <v>18</v>
      </c>
      <c r="G15" s="48">
        <v>2</v>
      </c>
      <c r="H15" s="49">
        <v>1</v>
      </c>
      <c r="I15" s="50"/>
    </row>
    <row r="16" spans="2:125" ht="17.100000000000001" customHeight="1" x14ac:dyDescent="0.3">
      <c r="B16" s="1" t="s">
        <v>29</v>
      </c>
      <c r="C16" s="46" t="s">
        <v>30</v>
      </c>
      <c r="D16" s="47">
        <v>18</v>
      </c>
      <c r="E16" s="48">
        <v>1</v>
      </c>
      <c r="F16" s="48">
        <v>18</v>
      </c>
      <c r="G16" s="48">
        <v>1</v>
      </c>
      <c r="H16" s="49">
        <v>1</v>
      </c>
      <c r="I16" s="50"/>
    </row>
    <row r="17" spans="2:9" ht="17.100000000000001" customHeight="1" x14ac:dyDescent="0.3">
      <c r="B17" s="45" t="s">
        <v>28</v>
      </c>
      <c r="C17" s="46" t="s">
        <v>31</v>
      </c>
      <c r="D17" s="47">
        <v>22</v>
      </c>
      <c r="E17" s="48">
        <v>3</v>
      </c>
      <c r="F17" s="48">
        <v>0</v>
      </c>
      <c r="G17" s="48">
        <v>0</v>
      </c>
      <c r="H17" s="49">
        <v>1</v>
      </c>
      <c r="I17" s="50"/>
    </row>
    <row r="18" spans="2:9" ht="17.100000000000001" customHeight="1" x14ac:dyDescent="0.3">
      <c r="B18" s="45" t="s">
        <v>53</v>
      </c>
      <c r="C18" s="46" t="s">
        <v>33</v>
      </c>
      <c r="D18" s="47">
        <v>23</v>
      </c>
      <c r="E18" s="48">
        <v>2</v>
      </c>
      <c r="F18" s="48">
        <v>26</v>
      </c>
      <c r="G18" s="48">
        <v>1</v>
      </c>
      <c r="H18" s="49">
        <v>1</v>
      </c>
      <c r="I18" s="50"/>
    </row>
    <row r="19" spans="2:9" ht="17.100000000000001" customHeight="1" x14ac:dyDescent="0.3">
      <c r="B19" s="45" t="s">
        <v>39</v>
      </c>
      <c r="C19" s="46" t="s">
        <v>30</v>
      </c>
      <c r="D19" s="47">
        <v>23</v>
      </c>
      <c r="E19" s="48">
        <v>2</v>
      </c>
      <c r="F19" s="48">
        <v>26</v>
      </c>
      <c r="G19" s="48">
        <v>1</v>
      </c>
      <c r="H19" s="49">
        <v>1</v>
      </c>
      <c r="I19" s="50"/>
    </row>
    <row r="20" spans="2:9" ht="17.100000000000001" customHeight="1" x14ac:dyDescent="0.3">
      <c r="B20" s="45" t="s">
        <v>40</v>
      </c>
      <c r="C20" s="46" t="s">
        <v>30</v>
      </c>
      <c r="D20" s="47">
        <v>23</v>
      </c>
      <c r="E20" s="48">
        <v>2</v>
      </c>
      <c r="F20" s="48">
        <v>26</v>
      </c>
      <c r="G20" s="48">
        <v>1</v>
      </c>
      <c r="H20" s="49">
        <v>1</v>
      </c>
      <c r="I20" s="50"/>
    </row>
    <row r="21" spans="2:9" ht="17.100000000000001" customHeight="1" x14ac:dyDescent="0.3">
      <c r="B21" s="45" t="s">
        <v>44</v>
      </c>
      <c r="C21" s="46" t="s">
        <v>37</v>
      </c>
      <c r="D21" s="47">
        <v>24</v>
      </c>
      <c r="E21" s="48">
        <v>3</v>
      </c>
      <c r="F21" s="48">
        <v>24</v>
      </c>
      <c r="G21" s="48">
        <v>3</v>
      </c>
      <c r="H21" s="49">
        <v>1</v>
      </c>
      <c r="I21" s="50"/>
    </row>
    <row r="22" spans="2:9" ht="17.100000000000001" customHeight="1" x14ac:dyDescent="0.3">
      <c r="B22" s="45" t="s">
        <v>41</v>
      </c>
      <c r="C22" s="46" t="s">
        <v>33</v>
      </c>
      <c r="D22" s="47">
        <v>23</v>
      </c>
      <c r="E22" s="48">
        <v>2</v>
      </c>
      <c r="F22" s="48">
        <v>26</v>
      </c>
      <c r="G22" s="48">
        <v>1</v>
      </c>
      <c r="H22" s="49">
        <v>1</v>
      </c>
      <c r="I22" s="50"/>
    </row>
    <row r="23" spans="2:9" ht="17.100000000000001" customHeight="1" x14ac:dyDescent="0.3">
      <c r="B23" s="45" t="s">
        <v>42</v>
      </c>
      <c r="C23" s="46" t="s">
        <v>50</v>
      </c>
      <c r="D23" s="47">
        <v>24</v>
      </c>
      <c r="E23" s="48">
        <v>2</v>
      </c>
      <c r="F23" s="48">
        <v>25</v>
      </c>
      <c r="G23" s="48">
        <v>2</v>
      </c>
      <c r="H23" s="49">
        <v>1</v>
      </c>
      <c r="I23" s="50"/>
    </row>
    <row r="24" spans="2:9" ht="17.100000000000001" customHeight="1" x14ac:dyDescent="0.3">
      <c r="B24" s="45" t="s">
        <v>47</v>
      </c>
      <c r="C24" s="46" t="s">
        <v>30</v>
      </c>
      <c r="D24" s="47">
        <v>24</v>
      </c>
      <c r="E24" s="48">
        <v>2</v>
      </c>
      <c r="F24" s="48">
        <v>25</v>
      </c>
      <c r="G24" s="48">
        <v>3</v>
      </c>
      <c r="H24" s="49">
        <v>1</v>
      </c>
      <c r="I24" s="50"/>
    </row>
    <row r="25" spans="2:9" ht="17.100000000000001" customHeight="1" x14ac:dyDescent="0.3">
      <c r="B25" s="45" t="s">
        <v>43</v>
      </c>
      <c r="C25" s="46" t="s">
        <v>50</v>
      </c>
      <c r="D25" s="47">
        <v>24</v>
      </c>
      <c r="E25" s="48">
        <v>2</v>
      </c>
      <c r="F25" s="48">
        <v>25</v>
      </c>
      <c r="G25" s="48">
        <v>2</v>
      </c>
      <c r="H25" s="49">
        <v>1</v>
      </c>
      <c r="I25" s="50"/>
    </row>
    <row r="26" spans="2:9" ht="17.100000000000001" customHeight="1" x14ac:dyDescent="0.3">
      <c r="B26" s="51" t="s">
        <v>45</v>
      </c>
      <c r="C26" s="46" t="s">
        <v>48</v>
      </c>
      <c r="D26" s="47">
        <v>25</v>
      </c>
      <c r="E26" s="48">
        <v>1</v>
      </c>
      <c r="F26" s="48">
        <v>25</v>
      </c>
      <c r="G26" s="48">
        <v>2</v>
      </c>
      <c r="H26" s="49">
        <v>1</v>
      </c>
      <c r="I26" s="50"/>
    </row>
    <row r="27" spans="2:9" ht="17.100000000000001" customHeight="1" x14ac:dyDescent="0.3">
      <c r="B27" s="51" t="s">
        <v>55</v>
      </c>
      <c r="C27" s="46" t="s">
        <v>31</v>
      </c>
      <c r="D27" s="47">
        <v>25</v>
      </c>
      <c r="E27" s="48">
        <v>1</v>
      </c>
      <c r="F27" s="48">
        <v>24</v>
      </c>
      <c r="G27" s="48">
        <v>3</v>
      </c>
      <c r="H27" s="49">
        <v>1</v>
      </c>
      <c r="I27" s="50"/>
    </row>
    <row r="28" spans="2:9" ht="17.100000000000001" customHeight="1" x14ac:dyDescent="0.3">
      <c r="B28" s="51" t="s">
        <v>46</v>
      </c>
      <c r="C28" s="46" t="s">
        <v>31</v>
      </c>
      <c r="D28" s="47">
        <v>25</v>
      </c>
      <c r="E28" s="48">
        <v>2</v>
      </c>
      <c r="F28" s="48">
        <v>24</v>
      </c>
      <c r="G28" s="48">
        <v>3</v>
      </c>
      <c r="H28" s="49">
        <v>1</v>
      </c>
      <c r="I28" s="50"/>
    </row>
    <row r="29" spans="2:9" ht="17.100000000000001" customHeight="1" x14ac:dyDescent="0.3">
      <c r="B29" s="51" t="s">
        <v>52</v>
      </c>
      <c r="C29" s="46" t="s">
        <v>31</v>
      </c>
      <c r="D29" s="47">
        <v>25</v>
      </c>
      <c r="E29" s="48">
        <v>2</v>
      </c>
      <c r="F29" s="48">
        <v>24</v>
      </c>
      <c r="G29" s="48">
        <v>3</v>
      </c>
      <c r="H29" s="49">
        <v>1</v>
      </c>
      <c r="I29" s="50"/>
    </row>
    <row r="30" spans="2:9" ht="17.100000000000001" customHeight="1" x14ac:dyDescent="0.3">
      <c r="B30" s="51" t="s">
        <v>54</v>
      </c>
      <c r="C30" s="46" t="s">
        <v>37</v>
      </c>
      <c r="D30" s="47">
        <v>25</v>
      </c>
      <c r="E30" s="48">
        <v>2</v>
      </c>
      <c r="F30" s="48">
        <v>26</v>
      </c>
      <c r="G30" s="48">
        <v>1</v>
      </c>
      <c r="H30" s="49">
        <v>1</v>
      </c>
      <c r="I30" s="50"/>
    </row>
    <row r="31" spans="2:9" ht="17.100000000000001" customHeight="1" x14ac:dyDescent="0.3">
      <c r="B31" s="45" t="s">
        <v>56</v>
      </c>
      <c r="C31" s="46" t="s">
        <v>30</v>
      </c>
      <c r="D31" s="47">
        <v>28</v>
      </c>
      <c r="E31" s="48">
        <v>1</v>
      </c>
      <c r="F31" s="48">
        <v>28</v>
      </c>
      <c r="G31" s="48">
        <v>1</v>
      </c>
      <c r="H31" s="49">
        <v>1</v>
      </c>
      <c r="I31" s="50"/>
    </row>
    <row r="32" spans="2:9" ht="17.100000000000001" customHeight="1" x14ac:dyDescent="0.3">
      <c r="B32" s="45" t="s">
        <v>57</v>
      </c>
      <c r="C32" s="46" t="s">
        <v>30</v>
      </c>
      <c r="D32" s="48">
        <v>27</v>
      </c>
      <c r="E32" s="48">
        <v>1</v>
      </c>
      <c r="F32" s="48">
        <v>27</v>
      </c>
      <c r="G32" s="48">
        <v>1</v>
      </c>
      <c r="H32" s="49">
        <v>1</v>
      </c>
      <c r="I32" s="50"/>
    </row>
    <row r="33" spans="2:9" ht="17.100000000000001" customHeight="1" x14ac:dyDescent="0.3">
      <c r="B33" s="45" t="s">
        <v>66</v>
      </c>
      <c r="C33" s="46" t="s">
        <v>33</v>
      </c>
      <c r="D33" s="48">
        <v>27</v>
      </c>
      <c r="E33" s="48">
        <v>1</v>
      </c>
      <c r="F33" s="48">
        <v>27</v>
      </c>
      <c r="G33" s="48">
        <v>1</v>
      </c>
      <c r="H33" s="49">
        <v>1</v>
      </c>
      <c r="I33" s="50"/>
    </row>
    <row r="34" spans="2:9" ht="17.100000000000001" customHeight="1" x14ac:dyDescent="0.3">
      <c r="B34" s="45" t="s">
        <v>67</v>
      </c>
      <c r="C34" s="46" t="s">
        <v>30</v>
      </c>
      <c r="D34" s="48">
        <v>27</v>
      </c>
      <c r="E34" s="48">
        <v>1</v>
      </c>
      <c r="F34" s="48">
        <v>27</v>
      </c>
      <c r="G34" s="48">
        <v>1</v>
      </c>
      <c r="H34" s="49">
        <v>1</v>
      </c>
      <c r="I34" s="50"/>
    </row>
    <row r="35" spans="2:9" ht="17.100000000000001" customHeight="1" x14ac:dyDescent="0.3">
      <c r="B35" s="45" t="s">
        <v>58</v>
      </c>
      <c r="C35" s="52" t="s">
        <v>30</v>
      </c>
      <c r="D35" s="48">
        <v>28</v>
      </c>
      <c r="E35" s="48">
        <v>1</v>
      </c>
      <c r="F35" s="48">
        <v>28</v>
      </c>
      <c r="G35" s="48">
        <v>1</v>
      </c>
      <c r="H35" s="49">
        <v>1</v>
      </c>
      <c r="I35" s="50"/>
    </row>
    <row r="36" spans="2:9" ht="17.100000000000001" customHeight="1" x14ac:dyDescent="0.3">
      <c r="B36" s="45" t="s">
        <v>59</v>
      </c>
      <c r="C36" s="52" t="s">
        <v>30</v>
      </c>
      <c r="D36" s="48">
        <v>28</v>
      </c>
      <c r="E36" s="48">
        <v>1</v>
      </c>
      <c r="F36" s="48">
        <v>28</v>
      </c>
      <c r="G36" s="48">
        <v>1</v>
      </c>
      <c r="H36" s="49">
        <v>1</v>
      </c>
      <c r="I36" s="50"/>
    </row>
    <row r="37" spans="2:9" ht="17.100000000000001" customHeight="1" x14ac:dyDescent="0.3">
      <c r="B37" s="45" t="s">
        <v>60</v>
      </c>
      <c r="C37" s="52" t="s">
        <v>32</v>
      </c>
      <c r="D37" s="48">
        <v>27</v>
      </c>
      <c r="E37" s="48">
        <v>1</v>
      </c>
      <c r="F37" s="48">
        <v>27</v>
      </c>
      <c r="G37" s="48">
        <v>1</v>
      </c>
      <c r="H37" s="49">
        <v>1</v>
      </c>
      <c r="I37" s="50"/>
    </row>
    <row r="38" spans="2:9" ht="17.100000000000001" customHeight="1" x14ac:dyDescent="0.3">
      <c r="B38" s="45" t="s">
        <v>61</v>
      </c>
      <c r="C38" s="52" t="s">
        <v>33</v>
      </c>
      <c r="D38" s="48">
        <v>27</v>
      </c>
      <c r="E38" s="48">
        <v>1</v>
      </c>
      <c r="F38" s="48">
        <v>29</v>
      </c>
      <c r="G38" s="48">
        <v>1</v>
      </c>
      <c r="H38" s="49">
        <v>1</v>
      </c>
      <c r="I38" s="50"/>
    </row>
    <row r="39" spans="2:9" ht="17.100000000000001" customHeight="1" x14ac:dyDescent="0.3">
      <c r="B39" s="45" t="s">
        <v>62</v>
      </c>
      <c r="C39" s="52" t="s">
        <v>30</v>
      </c>
      <c r="D39" s="48">
        <v>28</v>
      </c>
      <c r="E39" s="48">
        <v>1</v>
      </c>
      <c r="F39" s="48">
        <v>29</v>
      </c>
      <c r="G39" s="48">
        <v>1</v>
      </c>
      <c r="H39" s="49">
        <v>1</v>
      </c>
      <c r="I39" s="50"/>
    </row>
    <row r="40" spans="2:9" ht="18.95" customHeight="1" x14ac:dyDescent="0.3">
      <c r="B40" s="45" t="s">
        <v>63</v>
      </c>
      <c r="C40" s="52" t="s">
        <v>30</v>
      </c>
      <c r="D40" s="48">
        <v>28</v>
      </c>
      <c r="E40" s="48">
        <v>1</v>
      </c>
      <c r="F40" s="48">
        <v>28</v>
      </c>
      <c r="G40" s="48">
        <v>1</v>
      </c>
      <c r="H40" s="49">
        <v>1</v>
      </c>
    </row>
    <row r="41" spans="2:9" ht="18.95" customHeight="1" x14ac:dyDescent="0.3">
      <c r="B41" s="45" t="s">
        <v>64</v>
      </c>
      <c r="C41" s="52" t="s">
        <v>32</v>
      </c>
      <c r="D41" s="48">
        <v>29</v>
      </c>
      <c r="E41" s="48">
        <v>1</v>
      </c>
      <c r="F41" s="48">
        <v>29</v>
      </c>
      <c r="G41" s="48">
        <v>1</v>
      </c>
      <c r="H41" s="49">
        <v>1</v>
      </c>
    </row>
    <row r="42" spans="2:9" ht="18.95" customHeight="1" x14ac:dyDescent="0.3">
      <c r="B42" s="45" t="s">
        <v>68</v>
      </c>
      <c r="C42" s="52" t="s">
        <v>32</v>
      </c>
      <c r="D42" s="48">
        <v>28</v>
      </c>
      <c r="E42" s="48">
        <v>1</v>
      </c>
      <c r="F42" s="48">
        <v>28</v>
      </c>
      <c r="G42" s="48">
        <v>1</v>
      </c>
      <c r="H42" s="49">
        <v>1</v>
      </c>
    </row>
    <row r="43" spans="2:9" ht="18.95" customHeight="1" x14ac:dyDescent="0.3">
      <c r="B43" s="51" t="s">
        <v>69</v>
      </c>
      <c r="C43" s="52" t="s">
        <v>32</v>
      </c>
      <c r="D43" s="48">
        <v>29</v>
      </c>
      <c r="E43" s="48">
        <v>1</v>
      </c>
      <c r="F43" s="48">
        <v>29</v>
      </c>
      <c r="G43" s="48">
        <v>1</v>
      </c>
      <c r="H43" s="49">
        <v>1</v>
      </c>
    </row>
    <row r="44" spans="2:9" ht="18.95" customHeight="1" x14ac:dyDescent="0.3">
      <c r="B44" s="45" t="s">
        <v>65</v>
      </c>
      <c r="C44" s="52" t="s">
        <v>33</v>
      </c>
      <c r="D44" s="48">
        <v>28</v>
      </c>
      <c r="E44" s="48">
        <v>1</v>
      </c>
      <c r="F44" s="48">
        <v>28</v>
      </c>
      <c r="G44" s="48">
        <v>1</v>
      </c>
      <c r="H44" s="49">
        <v>1</v>
      </c>
    </row>
    <row r="45" spans="2:9" ht="18.95" customHeight="1" x14ac:dyDescent="0.3">
      <c r="B45" s="51" t="s">
        <v>70</v>
      </c>
      <c r="C45" s="52" t="s">
        <v>32</v>
      </c>
      <c r="D45" s="48">
        <v>29</v>
      </c>
      <c r="E45" s="48">
        <v>1</v>
      </c>
      <c r="F45" s="48">
        <v>29</v>
      </c>
      <c r="G45" s="48">
        <v>1</v>
      </c>
      <c r="H45" s="49">
        <v>1</v>
      </c>
    </row>
    <row r="46" spans="2:9" ht="18.95" customHeight="1" x14ac:dyDescent="0.3">
      <c r="B46" s="51" t="s">
        <v>71</v>
      </c>
      <c r="C46" s="52" t="s">
        <v>32</v>
      </c>
      <c r="D46" s="48">
        <v>29</v>
      </c>
      <c r="E46" s="48">
        <v>1</v>
      </c>
      <c r="F46" s="48">
        <v>29</v>
      </c>
      <c r="G46" s="48">
        <v>1</v>
      </c>
      <c r="H46" s="49">
        <v>1</v>
      </c>
    </row>
    <row r="47" spans="2:9" ht="18.95" customHeight="1" x14ac:dyDescent="0.3">
      <c r="B47" s="51" t="s">
        <v>72</v>
      </c>
      <c r="C47" s="52" t="s">
        <v>33</v>
      </c>
      <c r="D47" s="48">
        <v>28</v>
      </c>
      <c r="E47" s="48">
        <v>1</v>
      </c>
      <c r="F47" s="48">
        <v>28</v>
      </c>
      <c r="G47" s="48">
        <v>1</v>
      </c>
      <c r="H47" s="49">
        <v>1</v>
      </c>
    </row>
    <row r="48" spans="2:9" ht="18.95" customHeight="1" x14ac:dyDescent="0.3">
      <c r="B48" s="51" t="s">
        <v>73</v>
      </c>
      <c r="C48" s="52" t="s">
        <v>32</v>
      </c>
      <c r="D48" s="48">
        <v>28</v>
      </c>
      <c r="E48" s="48">
        <v>1</v>
      </c>
      <c r="F48" s="48">
        <v>28</v>
      </c>
      <c r="G48" s="48">
        <v>1</v>
      </c>
      <c r="H48" s="49">
        <v>1</v>
      </c>
    </row>
    <row r="49" spans="2:8" ht="18.95" customHeight="1" x14ac:dyDescent="0.3">
      <c r="B49" s="51" t="s">
        <v>75</v>
      </c>
      <c r="C49" s="46" t="s">
        <v>37</v>
      </c>
      <c r="D49" s="48">
        <v>38</v>
      </c>
      <c r="E49" s="48">
        <v>2</v>
      </c>
      <c r="F49" s="48">
        <v>38</v>
      </c>
      <c r="G49" s="48">
        <v>2</v>
      </c>
      <c r="H49" s="49">
        <v>1</v>
      </c>
    </row>
    <row r="50" spans="2:8" ht="18.95" customHeight="1" x14ac:dyDescent="0.3">
      <c r="B50" s="51" t="s">
        <v>74</v>
      </c>
      <c r="C50" s="46" t="s">
        <v>37</v>
      </c>
      <c r="D50" s="48">
        <v>38</v>
      </c>
      <c r="E50" s="48">
        <v>1</v>
      </c>
      <c r="F50" s="48">
        <v>39</v>
      </c>
      <c r="G50" s="48">
        <v>1</v>
      </c>
      <c r="H50" s="49">
        <v>1</v>
      </c>
    </row>
    <row r="51" spans="2:8" ht="18.95" customHeight="1" x14ac:dyDescent="0.3">
      <c r="B51" s="51" t="s">
        <v>76</v>
      </c>
      <c r="C51" s="46" t="s">
        <v>30</v>
      </c>
      <c r="D51" s="48">
        <v>37</v>
      </c>
      <c r="E51" s="48">
        <v>1</v>
      </c>
      <c r="F51" s="48">
        <v>37</v>
      </c>
      <c r="G51" s="48">
        <v>1</v>
      </c>
      <c r="H51" s="49">
        <v>1</v>
      </c>
    </row>
    <row r="52" spans="2:8" ht="18.95" customHeight="1" x14ac:dyDescent="0.3">
      <c r="B52" s="51" t="s">
        <v>77</v>
      </c>
      <c r="C52" s="46" t="s">
        <v>30</v>
      </c>
      <c r="D52" s="48">
        <v>37</v>
      </c>
      <c r="E52" s="48">
        <v>1</v>
      </c>
      <c r="F52" s="48">
        <v>37</v>
      </c>
      <c r="G52" s="48">
        <v>1</v>
      </c>
      <c r="H52" s="49">
        <v>1</v>
      </c>
    </row>
    <row r="53" spans="2:8" ht="18.95" customHeight="1" x14ac:dyDescent="0.3">
      <c r="B53" s="51" t="s">
        <v>78</v>
      </c>
      <c r="C53" s="46" t="s">
        <v>37</v>
      </c>
      <c r="D53" s="48">
        <v>38</v>
      </c>
      <c r="E53" s="48">
        <v>2</v>
      </c>
      <c r="F53" s="48">
        <v>41</v>
      </c>
      <c r="G53" s="48">
        <v>3</v>
      </c>
      <c r="H53" s="49">
        <v>1</v>
      </c>
    </row>
    <row r="54" spans="2:8" ht="18.95" customHeight="1" x14ac:dyDescent="0.3">
      <c r="B54" s="51" t="s">
        <v>79</v>
      </c>
      <c r="C54" s="46" t="s">
        <v>33</v>
      </c>
      <c r="D54" s="48">
        <v>43</v>
      </c>
      <c r="E54" s="48">
        <v>2</v>
      </c>
      <c r="F54" s="48">
        <v>44</v>
      </c>
      <c r="G54" s="48">
        <v>2</v>
      </c>
      <c r="H54" s="49">
        <v>1</v>
      </c>
    </row>
    <row r="55" spans="2:8" ht="18.95" customHeight="1" x14ac:dyDescent="0.3">
      <c r="B55" s="51" t="s">
        <v>80</v>
      </c>
      <c r="C55" s="46" t="s">
        <v>30</v>
      </c>
      <c r="D55" s="48">
        <v>43</v>
      </c>
      <c r="E55" s="48">
        <v>2</v>
      </c>
      <c r="F55" s="48">
        <v>44</v>
      </c>
      <c r="G55" s="48">
        <v>2</v>
      </c>
      <c r="H55" s="49">
        <v>1</v>
      </c>
    </row>
    <row r="56" spans="2:8" ht="18.95" customHeight="1" x14ac:dyDescent="0.3">
      <c r="B56" s="51" t="s">
        <v>81</v>
      </c>
      <c r="C56" s="46" t="s">
        <v>30</v>
      </c>
      <c r="D56" s="48">
        <v>44</v>
      </c>
      <c r="E56" s="48">
        <v>2</v>
      </c>
      <c r="F56" s="48">
        <v>45</v>
      </c>
      <c r="G56" s="48">
        <v>1</v>
      </c>
      <c r="H56" s="49">
        <v>1</v>
      </c>
    </row>
    <row r="57" spans="2:8" x14ac:dyDescent="0.3">
      <c r="B57" s="53" t="s">
        <v>82</v>
      </c>
      <c r="C57" s="46" t="s">
        <v>30</v>
      </c>
      <c r="D57" s="48">
        <v>44</v>
      </c>
      <c r="E57" s="48">
        <v>2</v>
      </c>
      <c r="F57" s="48">
        <v>45</v>
      </c>
      <c r="G57" s="48">
        <v>2</v>
      </c>
      <c r="H57" s="49">
        <v>1</v>
      </c>
    </row>
    <row r="58" spans="2:8" ht="18.95" customHeight="1" x14ac:dyDescent="0.3">
      <c r="B58" s="51" t="s">
        <v>83</v>
      </c>
      <c r="C58" s="52" t="s">
        <v>33</v>
      </c>
      <c r="D58" s="48">
        <v>45</v>
      </c>
      <c r="E58" s="48">
        <v>1</v>
      </c>
      <c r="F58" s="48">
        <v>45</v>
      </c>
      <c r="G58" s="48">
        <v>1</v>
      </c>
      <c r="H58" s="49">
        <v>1</v>
      </c>
    </row>
    <row r="59" spans="2:8" ht="18.95" customHeight="1" x14ac:dyDescent="0.3">
      <c r="B59" s="51" t="s">
        <v>84</v>
      </c>
      <c r="C59" s="52" t="s">
        <v>33</v>
      </c>
      <c r="D59" s="48">
        <v>45</v>
      </c>
      <c r="E59" s="48">
        <v>1</v>
      </c>
      <c r="F59" s="48">
        <v>45</v>
      </c>
      <c r="G59" s="48">
        <v>1</v>
      </c>
      <c r="H59" s="49">
        <v>1</v>
      </c>
    </row>
    <row r="60" spans="2:8" ht="18.95" customHeight="1" x14ac:dyDescent="0.3">
      <c r="B60" s="51" t="s">
        <v>85</v>
      </c>
      <c r="C60" s="52" t="s">
        <v>32</v>
      </c>
      <c r="D60" s="48">
        <v>43</v>
      </c>
      <c r="E60" s="48">
        <v>3</v>
      </c>
      <c r="F60" s="48">
        <v>44</v>
      </c>
      <c r="G60" s="48">
        <v>3</v>
      </c>
      <c r="H60" s="49">
        <v>1</v>
      </c>
    </row>
    <row r="61" spans="2:8" ht="18.95" customHeight="1" x14ac:dyDescent="0.3">
      <c r="B61" s="51" t="s">
        <v>86</v>
      </c>
      <c r="C61" s="52" t="s">
        <v>32</v>
      </c>
      <c r="D61" s="48">
        <v>44</v>
      </c>
      <c r="E61" s="48">
        <v>1</v>
      </c>
      <c r="F61" s="48">
        <v>44</v>
      </c>
      <c r="G61" s="48">
        <v>1</v>
      </c>
      <c r="H61" s="49">
        <v>1</v>
      </c>
    </row>
    <row r="62" spans="2:8" ht="18.95" customHeight="1" x14ac:dyDescent="0.3">
      <c r="B62" s="51" t="s">
        <v>87</v>
      </c>
      <c r="C62" s="46" t="s">
        <v>37</v>
      </c>
      <c r="D62" s="54">
        <v>46</v>
      </c>
      <c r="E62" s="54">
        <v>1</v>
      </c>
      <c r="F62" s="54">
        <v>46</v>
      </c>
      <c r="G62" s="54">
        <v>1</v>
      </c>
      <c r="H62" s="49">
        <v>1</v>
      </c>
    </row>
    <row r="63" spans="2:8" ht="18.95" customHeight="1" x14ac:dyDescent="0.3">
      <c r="B63" s="51" t="s">
        <v>88</v>
      </c>
      <c r="C63" s="46" t="s">
        <v>37</v>
      </c>
      <c r="D63" s="48">
        <v>46</v>
      </c>
      <c r="E63" s="48">
        <v>1</v>
      </c>
      <c r="F63" s="48">
        <v>47</v>
      </c>
      <c r="G63" s="48">
        <v>1</v>
      </c>
      <c r="H63" s="49">
        <v>1</v>
      </c>
    </row>
    <row r="64" spans="2:8" ht="18.95" customHeight="1" x14ac:dyDescent="0.3">
      <c r="B64" s="51" t="s">
        <v>89</v>
      </c>
      <c r="C64" s="46" t="s">
        <v>37</v>
      </c>
      <c r="D64" s="48">
        <v>43</v>
      </c>
      <c r="E64" s="48">
        <v>4</v>
      </c>
      <c r="F64" s="48">
        <v>43</v>
      </c>
      <c r="G64" s="48">
        <v>5</v>
      </c>
      <c r="H64" s="49">
        <v>1</v>
      </c>
    </row>
    <row r="65" spans="2:8" ht="18.95" customHeight="1" x14ac:dyDescent="0.3">
      <c r="B65" s="51" t="s">
        <v>49</v>
      </c>
      <c r="C65" s="46" t="s">
        <v>37</v>
      </c>
      <c r="D65" s="48">
        <v>43</v>
      </c>
      <c r="E65" s="48">
        <v>4</v>
      </c>
      <c r="F65" s="48">
        <v>43</v>
      </c>
      <c r="G65" s="48">
        <v>5</v>
      </c>
      <c r="H65" s="49">
        <v>1</v>
      </c>
    </row>
    <row r="66" spans="2:8" ht="18.95" customHeight="1" x14ac:dyDescent="0.3">
      <c r="B66" s="51" t="s">
        <v>90</v>
      </c>
      <c r="C66" s="52" t="s">
        <v>37</v>
      </c>
      <c r="D66" s="48">
        <v>50</v>
      </c>
      <c r="E66" s="48">
        <v>2</v>
      </c>
      <c r="F66" s="48">
        <v>51</v>
      </c>
      <c r="G66" s="48">
        <v>1</v>
      </c>
      <c r="H66" s="49">
        <v>1</v>
      </c>
    </row>
    <row r="67" spans="2:8" ht="18.95" customHeight="1" x14ac:dyDescent="0.3">
      <c r="B67" s="51" t="s">
        <v>91</v>
      </c>
      <c r="C67" s="52" t="s">
        <v>37</v>
      </c>
      <c r="D67" s="48">
        <v>52</v>
      </c>
      <c r="E67" s="48">
        <v>1</v>
      </c>
      <c r="F67" s="48">
        <v>52</v>
      </c>
      <c r="G67" s="48">
        <v>1</v>
      </c>
      <c r="H67" s="49">
        <v>1</v>
      </c>
    </row>
    <row r="68" spans="2:8" ht="18.95" customHeight="1" x14ac:dyDescent="0.3">
      <c r="B68" s="51" t="s">
        <v>92</v>
      </c>
      <c r="C68" s="52" t="s">
        <v>37</v>
      </c>
      <c r="D68" s="48">
        <v>50</v>
      </c>
      <c r="E68" s="48">
        <v>2</v>
      </c>
      <c r="F68" s="48">
        <v>51</v>
      </c>
      <c r="G68" s="48">
        <v>3</v>
      </c>
      <c r="H68" s="49">
        <v>1</v>
      </c>
    </row>
    <row r="69" spans="2:8" ht="18.95" customHeight="1" x14ac:dyDescent="0.3">
      <c r="B69" s="51" t="s">
        <v>93</v>
      </c>
      <c r="C69" s="52" t="s">
        <v>37</v>
      </c>
      <c r="D69" s="48">
        <v>50</v>
      </c>
      <c r="E69" s="48">
        <v>2</v>
      </c>
      <c r="F69" s="48">
        <v>51</v>
      </c>
      <c r="G69" s="48">
        <v>1</v>
      </c>
      <c r="H69" s="49">
        <v>1</v>
      </c>
    </row>
    <row r="70" spans="2:8" ht="18.95" customHeight="1" x14ac:dyDescent="0.3">
      <c r="B70" s="51" t="s">
        <v>96</v>
      </c>
      <c r="C70" s="52" t="s">
        <v>37</v>
      </c>
      <c r="D70" s="2">
        <v>56</v>
      </c>
      <c r="E70" s="2">
        <v>2</v>
      </c>
      <c r="F70" s="2">
        <v>56</v>
      </c>
      <c r="G70" s="2">
        <v>2</v>
      </c>
      <c r="H70" s="3">
        <v>1</v>
      </c>
    </row>
    <row r="71" spans="2:8" ht="18.95" customHeight="1" x14ac:dyDescent="0.3">
      <c r="B71" s="51" t="s">
        <v>94</v>
      </c>
      <c r="C71" s="52" t="s">
        <v>37</v>
      </c>
      <c r="D71" s="2">
        <v>56</v>
      </c>
      <c r="E71" s="2">
        <v>4</v>
      </c>
      <c r="F71" s="2">
        <v>56</v>
      </c>
      <c r="G71" s="2">
        <v>4</v>
      </c>
      <c r="H71" s="3">
        <v>1</v>
      </c>
    </row>
    <row r="72" spans="2:8" ht="18.95" customHeight="1" x14ac:dyDescent="0.3">
      <c r="B72" s="51" t="s">
        <v>95</v>
      </c>
      <c r="C72" s="52" t="s">
        <v>37</v>
      </c>
      <c r="D72" s="2">
        <v>57</v>
      </c>
      <c r="E72" s="2">
        <v>1</v>
      </c>
      <c r="F72" s="2">
        <v>57</v>
      </c>
      <c r="G72" s="2">
        <v>1</v>
      </c>
      <c r="H72" s="3">
        <v>1</v>
      </c>
    </row>
    <row r="73" spans="2:8" ht="18.95" customHeight="1" x14ac:dyDescent="0.3">
      <c r="B73" s="51" t="s">
        <v>97</v>
      </c>
      <c r="C73" s="52" t="s">
        <v>37</v>
      </c>
      <c r="D73" s="2">
        <v>63</v>
      </c>
      <c r="E73" s="2">
        <v>1</v>
      </c>
      <c r="F73" s="2">
        <v>63</v>
      </c>
      <c r="G73" s="2">
        <v>1</v>
      </c>
      <c r="H73" s="3">
        <v>1</v>
      </c>
    </row>
    <row r="74" spans="2:8" ht="18.95" customHeight="1" x14ac:dyDescent="0.3">
      <c r="B74" s="51" t="s">
        <v>98</v>
      </c>
      <c r="C74" s="52" t="s">
        <v>37</v>
      </c>
      <c r="D74" s="2">
        <v>65</v>
      </c>
      <c r="E74" s="2">
        <v>2</v>
      </c>
      <c r="F74" s="2">
        <v>65</v>
      </c>
      <c r="G74" s="2">
        <v>2</v>
      </c>
      <c r="H74" s="3">
        <v>1</v>
      </c>
    </row>
    <row r="75" spans="2:8" ht="18.95" customHeight="1" x14ac:dyDescent="0.3">
      <c r="B75" s="51" t="s">
        <v>99</v>
      </c>
      <c r="C75" s="52" t="s">
        <v>37</v>
      </c>
      <c r="D75" s="2">
        <v>66</v>
      </c>
      <c r="E75" s="2">
        <v>1</v>
      </c>
      <c r="F75" s="2">
        <v>67</v>
      </c>
      <c r="G75" s="2">
        <v>1</v>
      </c>
      <c r="H75" s="3">
        <v>1</v>
      </c>
    </row>
    <row r="76" spans="2:8" ht="18.95" customHeight="1" x14ac:dyDescent="0.3">
      <c r="B76" s="51" t="s">
        <v>100</v>
      </c>
      <c r="C76" s="52" t="s">
        <v>37</v>
      </c>
      <c r="D76" s="2">
        <v>75</v>
      </c>
      <c r="E76" s="2">
        <v>2</v>
      </c>
      <c r="F76" s="2">
        <v>75</v>
      </c>
      <c r="G76" s="2">
        <v>2</v>
      </c>
      <c r="H76" s="3">
        <v>1</v>
      </c>
    </row>
    <row r="77" spans="2:8" ht="18.95" customHeight="1" x14ac:dyDescent="0.3">
      <c r="B77" s="51" t="s">
        <v>101</v>
      </c>
      <c r="C77" s="52" t="s">
        <v>37</v>
      </c>
      <c r="D77" s="2">
        <v>78</v>
      </c>
      <c r="E77" s="2">
        <v>1</v>
      </c>
      <c r="F77" s="2">
        <v>78</v>
      </c>
      <c r="G77" s="2">
        <v>1</v>
      </c>
      <c r="H77" s="3">
        <v>1</v>
      </c>
    </row>
    <row r="78" spans="2:8" ht="18.95" customHeight="1" x14ac:dyDescent="0.3">
      <c r="B78" s="51" t="s">
        <v>102</v>
      </c>
      <c r="C78" s="55" t="s">
        <v>37</v>
      </c>
      <c r="D78" s="2">
        <v>77</v>
      </c>
      <c r="E78" s="2">
        <v>7</v>
      </c>
      <c r="F78" s="2">
        <v>77</v>
      </c>
      <c r="G78" s="2">
        <v>7</v>
      </c>
      <c r="H78" s="3">
        <v>1</v>
      </c>
    </row>
    <row r="79" spans="2:8" ht="18.95" customHeight="1" x14ac:dyDescent="0.3">
      <c r="B79" s="51" t="s">
        <v>103</v>
      </c>
      <c r="C79" s="55" t="s">
        <v>30</v>
      </c>
      <c r="D79" s="2">
        <v>85</v>
      </c>
      <c r="E79" s="2">
        <v>2</v>
      </c>
      <c r="F79" s="2">
        <v>85</v>
      </c>
      <c r="G79" s="2">
        <v>2</v>
      </c>
      <c r="H79" s="3">
        <v>1</v>
      </c>
    </row>
    <row r="80" spans="2:8" ht="18.95" customHeight="1" x14ac:dyDescent="0.3">
      <c r="B80" s="51" t="s">
        <v>104</v>
      </c>
      <c r="C80" s="55" t="s">
        <v>33</v>
      </c>
      <c r="D80" s="2">
        <v>87</v>
      </c>
      <c r="E80" s="2">
        <v>3</v>
      </c>
      <c r="F80" s="2">
        <v>87</v>
      </c>
      <c r="G80" s="61" t="s">
        <v>114</v>
      </c>
      <c r="H80" s="3">
        <v>0.8</v>
      </c>
    </row>
    <row r="81" spans="2:8" ht="18.95" customHeight="1" x14ac:dyDescent="0.3">
      <c r="B81" s="51" t="s">
        <v>108</v>
      </c>
      <c r="C81" s="55" t="s">
        <v>32</v>
      </c>
      <c r="D81" s="2">
        <v>84</v>
      </c>
      <c r="E81" s="2">
        <v>2</v>
      </c>
      <c r="F81" s="2">
        <v>84</v>
      </c>
      <c r="G81" s="2">
        <v>2</v>
      </c>
      <c r="H81" s="3">
        <v>1</v>
      </c>
    </row>
    <row r="82" spans="2:8" ht="18.95" customHeight="1" x14ac:dyDescent="0.3">
      <c r="B82" s="51" t="s">
        <v>113</v>
      </c>
      <c r="C82" s="55" t="s">
        <v>30</v>
      </c>
      <c r="D82" s="60">
        <v>91</v>
      </c>
      <c r="E82" s="60">
        <v>3</v>
      </c>
      <c r="F82" s="55" t="s">
        <v>114</v>
      </c>
      <c r="G82" s="55" t="s">
        <v>114</v>
      </c>
    </row>
    <row r="83" spans="2:8" ht="18.95" customHeight="1" x14ac:dyDescent="0.3">
      <c r="B83" s="51" t="s">
        <v>112</v>
      </c>
      <c r="C83" s="55" t="s">
        <v>33</v>
      </c>
      <c r="D83" s="60">
        <v>92</v>
      </c>
      <c r="E83" s="60">
        <v>1</v>
      </c>
      <c r="F83" s="55" t="s">
        <v>114</v>
      </c>
      <c r="G83" s="55" t="s">
        <v>114</v>
      </c>
    </row>
    <row r="84" spans="2:8" ht="18.95" customHeight="1" x14ac:dyDescent="0.3">
      <c r="B84" s="51" t="s">
        <v>111</v>
      </c>
      <c r="C84" s="55" t="s">
        <v>37</v>
      </c>
      <c r="D84" s="60">
        <v>94</v>
      </c>
      <c r="E84" s="60">
        <v>10</v>
      </c>
      <c r="F84" s="55" t="s">
        <v>114</v>
      </c>
      <c r="G84" s="55" t="s">
        <v>114</v>
      </c>
    </row>
    <row r="85" spans="2:8" ht="17.25" customHeight="1" x14ac:dyDescent="0.3">
      <c r="B85" s="51" t="s">
        <v>110</v>
      </c>
      <c r="C85" s="55" t="s">
        <v>33</v>
      </c>
      <c r="D85" s="60">
        <v>94</v>
      </c>
      <c r="E85" s="60">
        <v>3</v>
      </c>
      <c r="F85" s="55" t="s">
        <v>114</v>
      </c>
      <c r="G85" s="55" t="s">
        <v>114</v>
      </c>
    </row>
    <row r="86" spans="2:8" ht="18.95" customHeight="1" x14ac:dyDescent="0.3">
      <c r="B86" s="51" t="s">
        <v>109</v>
      </c>
      <c r="C86" s="55" t="s">
        <v>116</v>
      </c>
      <c r="D86" s="60">
        <v>96</v>
      </c>
      <c r="E86" s="60">
        <v>2</v>
      </c>
      <c r="F86" s="55" t="s">
        <v>114</v>
      </c>
      <c r="G86" s="55" t="s">
        <v>114</v>
      </c>
    </row>
    <row r="87" spans="2:8" ht="18.95" customHeight="1" x14ac:dyDescent="0.3">
      <c r="B87" s="51" t="s">
        <v>107</v>
      </c>
      <c r="C87" s="55" t="s">
        <v>32</v>
      </c>
      <c r="D87" s="60">
        <v>98</v>
      </c>
      <c r="E87" s="60">
        <v>3</v>
      </c>
      <c r="F87" s="55" t="s">
        <v>114</v>
      </c>
      <c r="G87" s="55" t="s">
        <v>114</v>
      </c>
    </row>
    <row r="88" spans="2:8" ht="18.95" customHeight="1" x14ac:dyDescent="0.3">
      <c r="B88" s="51" t="s">
        <v>106</v>
      </c>
      <c r="C88" s="55" t="s">
        <v>117</v>
      </c>
      <c r="D88" s="60">
        <v>89</v>
      </c>
      <c r="E88" s="60">
        <v>3</v>
      </c>
      <c r="F88" s="55" t="s">
        <v>114</v>
      </c>
      <c r="G88" s="55" t="s">
        <v>114</v>
      </c>
    </row>
    <row r="89" spans="2:8" ht="18.95" customHeight="1" x14ac:dyDescent="0.3">
      <c r="B89" s="51" t="s">
        <v>115</v>
      </c>
      <c r="C89" s="55" t="s">
        <v>37</v>
      </c>
      <c r="D89" s="60">
        <v>100</v>
      </c>
      <c r="E89" s="60">
        <v>2</v>
      </c>
      <c r="F89" s="55" t="s">
        <v>114</v>
      </c>
      <c r="G89" s="55" t="s">
        <v>114</v>
      </c>
    </row>
    <row r="90" spans="2:8" ht="18.95" customHeight="1" x14ac:dyDescent="0.3">
      <c r="B90" s="51" t="s">
        <v>105</v>
      </c>
      <c r="C90" s="55" t="s">
        <v>37</v>
      </c>
      <c r="D90" s="60">
        <v>90</v>
      </c>
      <c r="E90" s="60">
        <v>12</v>
      </c>
      <c r="F90" s="55" t="s">
        <v>114</v>
      </c>
      <c r="G90" s="55" t="s">
        <v>114</v>
      </c>
    </row>
    <row r="91" spans="2:8" ht="18.95" customHeight="1" x14ac:dyDescent="0.25">
      <c r="B91" s="6"/>
      <c r="C91" s="6"/>
      <c r="D91" s="6"/>
      <c r="E91" s="6"/>
      <c r="F91" s="6"/>
      <c r="G91" s="6"/>
      <c r="H91" s="6"/>
    </row>
    <row r="92" spans="2:8" ht="15" x14ac:dyDescent="0.25">
      <c r="B92" s="6"/>
      <c r="C92" s="6"/>
      <c r="D92" s="6"/>
      <c r="E92" s="6"/>
      <c r="F92" s="6"/>
      <c r="G92" s="6"/>
      <c r="H92" s="6"/>
    </row>
    <row r="93" spans="2:8" ht="15" x14ac:dyDescent="0.25">
      <c r="B93" s="6"/>
      <c r="C93" s="6"/>
      <c r="D93" s="6"/>
      <c r="E93" s="6"/>
      <c r="F93" s="6"/>
      <c r="G93" s="6"/>
      <c r="H93" s="6"/>
    </row>
    <row r="94" spans="2:8" ht="15" x14ac:dyDescent="0.25">
      <c r="B94" s="6"/>
      <c r="C94" s="6"/>
      <c r="D94" s="6"/>
      <c r="E94" s="6"/>
      <c r="F94" s="6"/>
      <c r="G94" s="6"/>
      <c r="H94" s="6"/>
    </row>
    <row r="95" spans="2:8" ht="15" x14ac:dyDescent="0.25">
      <c r="B95" s="6"/>
      <c r="C95" s="6"/>
      <c r="D95" s="6"/>
      <c r="E95" s="6"/>
      <c r="F95" s="6"/>
      <c r="G95" s="6"/>
      <c r="H95" s="6"/>
    </row>
    <row r="96" spans="2:8" ht="15" x14ac:dyDescent="0.25">
      <c r="B96" s="6"/>
      <c r="C96" s="6"/>
      <c r="D96" s="6"/>
      <c r="E96" s="6"/>
      <c r="F96" s="6"/>
      <c r="G96" s="6"/>
      <c r="H96" s="6"/>
    </row>
    <row r="97" spans="2:8" ht="15" x14ac:dyDescent="0.25">
      <c r="B97" s="6"/>
      <c r="C97" s="6"/>
      <c r="D97" s="6"/>
      <c r="E97" s="6"/>
      <c r="F97" s="6"/>
      <c r="G97" s="6"/>
      <c r="H97" s="6"/>
    </row>
    <row r="98" spans="2:8" ht="15" x14ac:dyDescent="0.25">
      <c r="B98" s="6"/>
      <c r="C98" s="6"/>
      <c r="D98" s="6"/>
      <c r="E98" s="6"/>
      <c r="F98" s="6"/>
      <c r="G98" s="6"/>
      <c r="H98" s="6"/>
    </row>
    <row r="99" spans="2:8" ht="15" x14ac:dyDescent="0.25">
      <c r="B99" s="6"/>
      <c r="C99" s="6"/>
      <c r="D99" s="6"/>
      <c r="E99" s="6"/>
      <c r="F99" s="6"/>
      <c r="G99" s="6"/>
      <c r="H99" s="6"/>
    </row>
    <row r="100" spans="2:8" ht="15" x14ac:dyDescent="0.25">
      <c r="B100" s="6"/>
      <c r="C100" s="6"/>
      <c r="D100" s="6"/>
      <c r="E100" s="6"/>
      <c r="F100" s="6"/>
      <c r="G100" s="6"/>
      <c r="H100" s="6"/>
    </row>
    <row r="101" spans="2:8" ht="15" x14ac:dyDescent="0.25">
      <c r="B101" s="6"/>
      <c r="C101" s="6"/>
      <c r="D101" s="6"/>
      <c r="E101" s="6"/>
      <c r="F101" s="6"/>
      <c r="G101" s="6"/>
      <c r="H101" s="6"/>
    </row>
    <row r="102" spans="2:8" ht="15" x14ac:dyDescent="0.25">
      <c r="B102" s="6"/>
      <c r="C102" s="6"/>
      <c r="D102" s="6"/>
      <c r="E102" s="6"/>
      <c r="F102" s="6"/>
      <c r="G102" s="6"/>
      <c r="H102" s="6"/>
    </row>
    <row r="103" spans="2:8" x14ac:dyDescent="0.3">
      <c r="B103" s="6"/>
    </row>
    <row r="104" spans="2:8" x14ac:dyDescent="0.3">
      <c r="B104" s="45"/>
    </row>
    <row r="105" spans="2:8" x14ac:dyDescent="0.3">
      <c r="B105" s="45"/>
    </row>
    <row r="106" spans="2:8" x14ac:dyDescent="0.3">
      <c r="B106" s="45"/>
    </row>
  </sheetData>
  <mergeCells count="7">
    <mergeCell ref="B2:H4"/>
    <mergeCell ref="BK1:BK6"/>
    <mergeCell ref="BU1:BU6"/>
    <mergeCell ref="BY1:BY6"/>
    <mergeCell ref="BQ1:BQ6"/>
    <mergeCell ref="BF1:BF6"/>
    <mergeCell ref="BN1:BN6"/>
  </mergeCells>
  <phoneticPr fontId="8" type="noConversion"/>
  <conditionalFormatting sqref="J16:BQ16 J9:DU15 J17:DU56 J58:DU91">
    <cfRule type="expression" dxfId="52" priority="44">
      <formula>PercentComplete</formula>
    </cfRule>
    <cfRule type="expression" dxfId="51" priority="46">
      <formula>PercentCompleteBeyond</formula>
    </cfRule>
    <cfRule type="expression" dxfId="50" priority="47">
      <formula>Actual</formula>
    </cfRule>
    <cfRule type="expression" dxfId="49" priority="48">
      <formula>ActualBeyond</formula>
    </cfRule>
    <cfRule type="expression" dxfId="48" priority="49">
      <formula>Plan</formula>
    </cfRule>
    <cfRule type="expression" dxfId="47" priority="50">
      <formula>J$8=period_selected</formula>
    </cfRule>
    <cfRule type="expression" dxfId="46" priority="54">
      <formula>MOD(COLUMN(),2)</formula>
    </cfRule>
    <cfRule type="expression" dxfId="45" priority="55">
      <formula>MOD(COLUMN(),2)=0</formula>
    </cfRule>
  </conditionalFormatting>
  <conditionalFormatting sqref="J92:BQ92 B107">
    <cfRule type="expression" dxfId="44" priority="45">
      <formula>TRUE</formula>
    </cfRule>
  </conditionalFormatting>
  <conditionalFormatting sqref="J8:BQ8">
    <cfRule type="expression" dxfId="43" priority="51">
      <formula>J$8=period_selected</formula>
    </cfRule>
  </conditionalFormatting>
  <conditionalFormatting sqref="BR16:CI16">
    <cfRule type="expression" dxfId="42" priority="34">
      <formula>PercentComplete</formula>
    </cfRule>
    <cfRule type="expression" dxfId="41" priority="36">
      <formula>PercentCompleteBeyond</formula>
    </cfRule>
    <cfRule type="expression" dxfId="40" priority="37">
      <formula>Actual</formula>
    </cfRule>
    <cfRule type="expression" dxfId="39" priority="38">
      <formula>ActualBeyond</formula>
    </cfRule>
    <cfRule type="expression" dxfId="38" priority="39">
      <formula>Plan</formula>
    </cfRule>
    <cfRule type="expression" dxfId="37" priority="40">
      <formula>BR$8=period_selected</formula>
    </cfRule>
    <cfRule type="expression" dxfId="36" priority="42">
      <formula>MOD(COLUMN(),2)</formula>
    </cfRule>
    <cfRule type="expression" dxfId="35" priority="43">
      <formula>MOD(COLUMN(),2)=0</formula>
    </cfRule>
  </conditionalFormatting>
  <conditionalFormatting sqref="BR92:CI92">
    <cfRule type="expression" dxfId="34" priority="35">
      <formula>TRUE</formula>
    </cfRule>
  </conditionalFormatting>
  <conditionalFormatting sqref="BR8:BV8 BX8:CI8">
    <cfRule type="expression" dxfId="33" priority="41">
      <formula>BR$8=period_selected</formula>
    </cfRule>
  </conditionalFormatting>
  <conditionalFormatting sqref="CJ16:DA16">
    <cfRule type="expression" dxfId="32" priority="24">
      <formula>PercentComplete</formula>
    </cfRule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CJ$8=period_selected</formula>
    </cfRule>
    <cfRule type="expression" dxfId="26" priority="32">
      <formula>MOD(COLUMN(),2)</formula>
    </cfRule>
    <cfRule type="expression" dxfId="25" priority="33">
      <formula>MOD(COLUMN(),2)=0</formula>
    </cfRule>
  </conditionalFormatting>
  <conditionalFormatting sqref="CJ92:DA92">
    <cfRule type="expression" dxfId="24" priority="25">
      <formula>TRUE</formula>
    </cfRule>
  </conditionalFormatting>
  <conditionalFormatting sqref="CJ8:CZ8">
    <cfRule type="expression" dxfId="23" priority="31">
      <formula>CJ$8=period_selected</formula>
    </cfRule>
  </conditionalFormatting>
  <conditionalFormatting sqref="DB16:DC16">
    <cfRule type="expression" dxfId="22" priority="14">
      <formula>PercentComplete</formula>
    </cfRule>
    <cfRule type="expression" dxfId="21" priority="16">
      <formula>PercentCompleteBeyond</formula>
    </cfRule>
    <cfRule type="expression" dxfId="20" priority="17">
      <formula>Actual</formula>
    </cfRule>
    <cfRule type="expression" dxfId="19" priority="18">
      <formula>ActualBeyond</formula>
    </cfRule>
    <cfRule type="expression" dxfId="18" priority="19">
      <formula>Plan</formula>
    </cfRule>
    <cfRule type="expression" dxfId="17" priority="20">
      <formula>DB$8=period_selected</formula>
    </cfRule>
    <cfRule type="expression" dxfId="16" priority="22">
      <formula>MOD(COLUMN(),2)</formula>
    </cfRule>
    <cfRule type="expression" dxfId="15" priority="23">
      <formula>MOD(COLUMN(),2)=0</formula>
    </cfRule>
  </conditionalFormatting>
  <conditionalFormatting sqref="DB92:DC92">
    <cfRule type="expression" dxfId="14" priority="15">
      <formula>TRUE</formula>
    </cfRule>
  </conditionalFormatting>
  <conditionalFormatting sqref="DB8:DC8">
    <cfRule type="expression" dxfId="13" priority="21">
      <formula>DB$8=period_selected</formula>
    </cfRule>
  </conditionalFormatting>
  <conditionalFormatting sqref="DD16:DU16">
    <cfRule type="expression" dxfId="12" priority="4">
      <formula>PercentComplete</formula>
    </cfRule>
    <cfRule type="expression" dxfId="11" priority="6">
      <formula>PercentCompleteBeyond</formula>
    </cfRule>
    <cfRule type="expression" dxfId="10" priority="7">
      <formula>Actual</formula>
    </cfRule>
    <cfRule type="expression" dxfId="9" priority="8">
      <formula>ActualBeyond</formula>
    </cfRule>
    <cfRule type="expression" dxfId="8" priority="9">
      <formula>Plan</formula>
    </cfRule>
    <cfRule type="expression" dxfId="7" priority="10">
      <formula>DD$8=period_selected</formula>
    </cfRule>
    <cfRule type="expression" dxfId="6" priority="12">
      <formula>MOD(COLUMN(),2)</formula>
    </cfRule>
    <cfRule type="expression" dxfId="5" priority="13">
      <formula>MOD(COLUMN(),2)=0</formula>
    </cfRule>
  </conditionalFormatting>
  <conditionalFormatting sqref="DD92:DU92">
    <cfRule type="expression" dxfId="4" priority="5">
      <formula>TRUE</formula>
    </cfRule>
  </conditionalFormatting>
  <conditionalFormatting sqref="DD8:DN8 DU8">
    <cfRule type="expression" dxfId="3" priority="11">
      <formula>DD$8=period_selected</formula>
    </cfRule>
  </conditionalFormatting>
  <conditionalFormatting sqref="BW8">
    <cfRule type="expression" dxfId="2" priority="3">
      <formula>BW$8=period_selected</formula>
    </cfRule>
  </conditionalFormatting>
  <conditionalFormatting sqref="DA8">
    <cfRule type="expression" dxfId="1" priority="2">
      <formula>DA$8=period_selected</formula>
    </cfRule>
  </conditionalFormatting>
  <conditionalFormatting sqref="DO8:DT8">
    <cfRule type="expression" dxfId="0" priority="1">
      <formula>DO$8=period_selected</formula>
    </cfRule>
  </conditionalFormatting>
  <pageMargins left="0.45" right="0.45" top="0.5" bottom="0.5" header="0.3" footer="0.3"/>
  <pageSetup scale="60" fitToHeight="0" orientation="landscape" copies="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15</xdr:col>
                    <xdr:colOff>66675</xdr:colOff>
                    <xdr:row>2</xdr:row>
                    <xdr:rowOff>28575</xdr:rowOff>
                  </from>
                  <to>
                    <xdr:col>16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>Use this project planner to track your project by unique activities using the Gantt chart model. Easily see where each activity is according to plan.</APDescription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834193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2012-04-26T11:59:00+00:00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1560899</Value>
    </PublishStatusLookup>
    <APAuthor xmlns="4873beb7-5857-4685-be1f-d57550cc96cc">
      <UserInfo>
        <DisplayName>REDMOND\v-soujap</DisplayName>
        <AccountId>1954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TP102887600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  <LocMarketGroupTiers2 xmlns="4873beb7-5857-4685-be1f-d57550cc96cc" xsi:nil="true"/>
  </documentManagement>
</p:properties>
</file>

<file path=customXml/itemProps1.xml><?xml version="1.0" encoding="utf-8"?>
<ds:datastoreItem xmlns:ds="http://schemas.openxmlformats.org/officeDocument/2006/customXml" ds:itemID="{B0602295-AD8B-4999-B800-E8C6FA3593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873101-05C7-48A9-9E2E-94984378E3B6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terms/"/>
    <ds:schemaRef ds:uri="4873beb7-5857-4685-be1f-d57550cc96cc"/>
    <ds:schemaRef ds:uri="http://purl.org/dc/dcmitype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cp:lastPrinted>2016-06-08T18:50:11Z</cp:lastPrinted>
  <dcterms:created xsi:type="dcterms:W3CDTF">2012-03-29T23:36:33Z</dcterms:created>
  <dcterms:modified xsi:type="dcterms:W3CDTF">2017-11-27T02:20:45Z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